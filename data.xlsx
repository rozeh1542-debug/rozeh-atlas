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160" tabRatio="600" firstSheet="0" activeTab="1" autoFilterDateGrouping="1"/>
  </bookViews>
  <sheets>
    <sheet xmlns:r="http://schemas.openxmlformats.org/officeDocument/2006/relationships" name="آمار کلان" sheetId="1" state="visible" r:id="rId1"/>
    <sheet xmlns:r="http://schemas.openxmlformats.org/officeDocument/2006/relationships" name="اطلاعات استان‌ها" sheetId="2" state="visible" r:id="rId2"/>
    <sheet xmlns:r="http://schemas.openxmlformats.org/officeDocument/2006/relationships" name="راهنمای ورود اطلاعات" sheetId="3" state="visible" r:id="rId3"/>
    <sheet xmlns:r="http://schemas.openxmlformats.org/officeDocument/2006/relationships" name="پیام انگیزشی" sheetId="4" state="visible" r:id="rId4"/>
  </sheets>
  <definedNames/>
  <calcPr calcId="191029" calcMode="auto" fullCalcOnLoad="1" forceFullCalc="1"/>
</workbook>
</file>

<file path=xl/styles.xml><?xml version="1.0" encoding="utf-8"?>
<styleSheet xmlns="http://schemas.openxmlformats.org/spreadsheetml/2006/main">
  <numFmts count="1">
    <numFmt numFmtId="164" formatCode="0.0%"/>
  </numFmts>
  <fonts count="6">
    <font>
      <name val="Arial"/>
      <family val="2"/>
      <color theme="1"/>
      <sz val="11"/>
      <scheme val="minor"/>
    </font>
    <font>
      <name val="Arial"/>
      <b val="1"/>
      <color rgb="FFFFFFFF"/>
      <sz val="11"/>
    </font>
    <font>
      <name val="Arial"/>
      <b val="1"/>
      <sz val="16"/>
    </font>
    <font>
      <name val="Arial"/>
      <family val="2"/>
      <sz val="8"/>
      <scheme val="minor"/>
    </font>
    <font>
      <name val="B Nazanin"/>
      <charset val="178"/>
      <color theme="1"/>
      <sz val="11"/>
    </font>
    <font>
      <b val="1"/>
      <color rgb="00FFFFFF"/>
    </font>
  </fonts>
  <fills count="5">
    <fill>
      <patternFill/>
    </fill>
    <fill>
      <patternFill patternType="gray125"/>
    </fill>
    <fill>
      <patternFill patternType="solid">
        <fgColor rgb="FF2F6B55"/>
      </patternFill>
    </fill>
    <fill>
      <patternFill patternType="solid">
        <fgColor rgb="FF667A35"/>
      </patternFill>
    </fill>
    <fill>
      <patternFill patternType="solid">
        <fgColor rgb="00667A35"/>
      </patternFill>
    </fill>
  </fills>
  <borders count="2">
    <border>
      <left/>
      <right/>
      <top/>
      <bottom/>
      <diagonal/>
    </border>
    <border>
      <bottom style="thin">
        <color rgb="00D9D9D9"/>
      </bottom>
    </border>
  </borders>
  <cellStyleXfs count="1">
    <xf numFmtId="0" fontId="0" fillId="0" borderId="0"/>
  </cellStyleXfs>
  <cellXfs count="16">
    <xf numFmtId="0" fontId="0" fillId="0" borderId="0" pivotButton="0" quotePrefix="0" xfId="0"/>
    <xf numFmtId="0" fontId="0" fillId="0" borderId="0" applyAlignment="1" pivotButton="0" quotePrefix="0" xfId="0">
      <alignment horizontal="right" vertical="center" wrapText="1"/>
    </xf>
    <xf numFmtId="0" fontId="1" fillId="2" borderId="0" applyAlignment="1" pivotButton="0" quotePrefix="0" xfId="0">
      <alignment horizontal="right" vertical="center" wrapText="1"/>
    </xf>
    <xf numFmtId="0" fontId="2" fillId="0" borderId="0" applyAlignment="1" pivotButton="0" quotePrefix="0" xfId="0">
      <alignment horizontal="right" vertical="center" wrapText="1"/>
    </xf>
    <xf numFmtId="0" fontId="1" fillId="3" borderId="0" applyAlignment="1" pivotButton="0" quotePrefix="0" xfId="0">
      <alignment horizontal="right" vertical="center" wrapText="1"/>
    </xf>
    <xf numFmtId="164" fontId="0" fillId="0" borderId="0" applyAlignment="1" pivotButton="0" quotePrefix="0" xfId="0">
      <alignment horizontal="center" vertical="center"/>
    </xf>
    <xf numFmtId="0" fontId="4" fillId="0" borderId="0" applyAlignment="1" pivotButton="0" quotePrefix="0" xfId="0">
      <alignment horizontal="right" vertical="center" wrapText="1"/>
    </xf>
    <xf numFmtId="0" fontId="4" fillId="0" borderId="0" pivotButton="0" quotePrefix="0" xfId="0"/>
    <xf numFmtId="0" fontId="0" fillId="0" borderId="0" applyAlignment="1" pivotButton="0" quotePrefix="0" xfId="0">
      <alignment horizontal="right" vertical="center" wrapText="1"/>
    </xf>
    <xf numFmtId="0" fontId="0" fillId="0" borderId="0" pivotButton="0" quotePrefix="0" xfId="0"/>
    <xf numFmtId="0" fontId="5" fillId="4" borderId="0" applyAlignment="1" pivotButton="0" quotePrefix="0" xfId="0">
      <alignment horizontal="center" vertical="center" wrapText="1"/>
    </xf>
    <xf numFmtId="0" fontId="0" fillId="0" borderId="1" applyAlignment="1" pivotButton="0" quotePrefix="0" xfId="0">
      <alignment horizontal="right" vertical="center" wrapText="1"/>
    </xf>
    <xf numFmtId="9" fontId="0" fillId="0" borderId="1" applyAlignment="1" pivotButton="0" quotePrefix="0" xfId="0">
      <alignment horizontal="right" vertical="center" wrapText="1"/>
    </xf>
    <xf numFmtId="0" fontId="2" fillId="0" borderId="0" applyAlignment="1" pivotButton="0" quotePrefix="0" xfId="0">
      <alignment horizontal="right" vertical="top" wrapText="1"/>
    </xf>
    <xf numFmtId="0" fontId="0" fillId="0" borderId="0" applyAlignment="1" pivotButton="0" quotePrefix="0" xfId="0">
      <alignment horizontal="right" vertical="top" wrapText="1"/>
    </xf>
    <xf numFmtId="0" fontId="4" fillId="0" borderId="0" applyAlignment="1" pivotButton="0" quotePrefix="0" xfId="0">
      <alignment horizontal="righ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C1"/>
    </sheetView>
  </sheetViews>
  <sheetFormatPr baseColWidth="8" defaultRowHeight="14.25"/>
  <cols>
    <col width="10" customWidth="1" style="9" min="1" max="1"/>
    <col width="45" customWidth="1" style="9" min="2" max="2"/>
    <col width="20" customWidth="1" style="9" min="3" max="3"/>
  </cols>
  <sheetData>
    <row r="1">
      <c r="A1" s="8" t="inlineStr">
        <is>
          <t>شاخص‌های کلان اطلس پیشرفت طرح احیای روضه‌های خانگی</t>
        </is>
      </c>
    </row>
    <row r="2">
      <c r="A2" s="8" t="inlineStr">
        <is>
          <t>ردیف</t>
        </is>
      </c>
      <c r="B2" s="8" t="inlineStr">
        <is>
          <t>شاخص</t>
        </is>
      </c>
      <c r="C2" s="8" t="inlineStr">
        <is>
          <t>مقدار</t>
        </is>
      </c>
    </row>
    <row r="3">
      <c r="A3" s="8" t="n">
        <v>1</v>
      </c>
      <c r="B3" s="8" t="inlineStr">
        <is>
          <t>تعداد استان‌های فعال</t>
        </is>
      </c>
      <c r="C3" s="8">
        <f>COUNTIF('اطلاعات استان‌ها'!J2:J32,"&lt;&gt;شروع نشده")</f>
        <v/>
      </c>
    </row>
    <row r="4">
      <c r="A4" s="8" t="n">
        <v>2</v>
      </c>
      <c r="B4" s="8" t="inlineStr">
        <is>
          <t>تعداد رابطان استانی</t>
        </is>
      </c>
      <c r="C4" s="8">
        <f>COUNTIF('اطلاعات استان‌ها'!K2:K32,"دارد")</f>
        <v/>
      </c>
    </row>
    <row r="5">
      <c r="A5" s="8" t="n">
        <v>3</v>
      </c>
      <c r="B5" s="8" t="inlineStr">
        <is>
          <t>تعداد شهرستان‌های فعال</t>
        </is>
      </c>
      <c r="C5" s="8">
        <f>SUM('اطلاعات استان‌ها'!L2:L32)</f>
        <v/>
      </c>
    </row>
    <row r="6">
      <c r="A6" s="8" t="n">
        <v>4</v>
      </c>
      <c r="B6" s="8" t="inlineStr">
        <is>
          <t>تعداد رابطان شهرستانی</t>
        </is>
      </c>
      <c r="C6" s="8">
        <f>SUM('اطلاعات استان‌ها'!O2:O32)</f>
        <v/>
      </c>
    </row>
    <row r="7">
      <c r="A7" s="8" t="n">
        <v>5</v>
      </c>
      <c r="B7" s="8" t="inlineStr">
        <is>
          <t>تعداد شهرستان‌های تحت پوشش</t>
        </is>
      </c>
      <c r="C7" s="8">
        <f>SUM('اطلاعات استان‌ها'!N2:N32)</f>
        <v/>
      </c>
    </row>
    <row r="8">
      <c r="A8" s="8" t="n">
        <v>6</v>
      </c>
      <c r="B8" s="8" t="inlineStr">
        <is>
          <t>تعداد هیأت‌ها و مجموعه‌های شناسایی‌شده</t>
        </is>
      </c>
      <c r="C8" s="8">
        <f>SUM('اطلاعات استان‌ها'!P2:P32)</f>
        <v/>
      </c>
    </row>
    <row r="9">
      <c r="A9" s="8" t="n">
        <v>7</v>
      </c>
      <c r="B9" s="8" t="inlineStr">
        <is>
          <t>تعداد روضه‌های خانگی فعال</t>
        </is>
      </c>
      <c r="C9" s="8">
        <f>SUM('اطلاعات استان‌ها'!Q2:Q32)</f>
        <v/>
      </c>
    </row>
    <row r="10">
      <c r="A10" s="8" t="n">
        <v>8</v>
      </c>
      <c r="B10" s="8" t="inlineStr">
        <is>
          <t>تعداد روضه‌های خانگی برگزارشده</t>
        </is>
      </c>
      <c r="C10" s="8">
        <f>SUM('اطلاعات استان‌ها'!R2:R32)</f>
        <v/>
      </c>
    </row>
    <row r="11">
      <c r="A11" s="8" t="n">
        <v>9</v>
      </c>
      <c r="B11" s="8" t="inlineStr">
        <is>
          <t>تعداد مخاطبان</t>
        </is>
      </c>
      <c r="C11" s="8">
        <f>SUM('اطلاعات استان‌ها'!S2:S32)</f>
        <v/>
      </c>
    </row>
    <row r="12">
      <c r="A12" s="8" t="n">
        <v>10</v>
      </c>
      <c r="B12" s="8" t="inlineStr">
        <is>
          <t>تعداد خانواده‌های مشارکت‌کننده</t>
        </is>
      </c>
      <c r="C12" s="8">
        <f>SUM('اطلاعات استان‌ها'!T2:T32)</f>
        <v/>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2"/>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9" min="1" max="1"/>
    <col width="20" customWidth="1" style="9" min="2" max="2"/>
    <col width="20" customWidth="1" style="9" min="3" max="3"/>
    <col width="20" customWidth="1" style="9" min="4" max="4"/>
    <col width="20" customWidth="1" style="9" min="5" max="5"/>
    <col width="20" customWidth="1" style="9" min="6" max="6"/>
    <col width="20" customWidth="1" style="9" min="7" max="7"/>
    <col width="24" customWidth="1" style="9" min="8" max="8"/>
    <col width="16" customWidth="1" style="9" min="9" max="9"/>
    <col width="16" customWidth="1" style="9" min="10" max="10"/>
    <col width="24" customWidth="1" style="9" min="11" max="11"/>
    <col width="22" customWidth="1" style="9" min="12" max="12"/>
    <col width="20" customWidth="1" style="9" min="13" max="13"/>
    <col width="30" customWidth="1" style="9" min="14" max="14"/>
    <col width="34" customWidth="1" style="9" min="15" max="15"/>
    <col width="25" customWidth="1" style="9" min="16" max="16"/>
    <col width="28" customWidth="1" style="9" min="17" max="17"/>
    <col width="18" customWidth="1" style="9" min="18" max="18"/>
    <col width="30" customWidth="1" style="9" min="19" max="19"/>
    <col width="30" customWidth="1" style="9" min="20" max="20"/>
    <col width="30" customWidth="1" style="9" min="21" max="21"/>
    <col width="22" customWidth="1" style="9" min="22" max="22"/>
    <col width="35" customWidth="1" style="9" min="23" max="23"/>
  </cols>
  <sheetData>
    <row r="1">
      <c r="A1" s="10" t="inlineStr">
        <is>
          <t>استان</t>
        </is>
      </c>
      <c r="B1" s="10" t="inlineStr">
        <is>
          <t>گام ۱ - شناسایی فعالان</t>
        </is>
      </c>
      <c r="C1" s="10" t="inlineStr">
        <is>
          <t>گام ۲ - رابط استانی</t>
        </is>
      </c>
      <c r="D1" s="10" t="inlineStr">
        <is>
          <t>گام ۳ - رابط شهرستانی</t>
        </is>
      </c>
      <c r="E1" s="10" t="inlineStr">
        <is>
          <t>گام ۴ - همایش استانی</t>
        </is>
      </c>
      <c r="F1" s="10" t="inlineStr">
        <is>
          <t>گام ۵ - توانمندسازی</t>
        </is>
      </c>
      <c r="G1" s="10" t="inlineStr">
        <is>
          <t>گام ۶ - اقدام و استمرار</t>
        </is>
      </c>
      <c r="H1" s="10" t="inlineStr">
        <is>
          <t>گام ۷ - ارزیابی و توسعه</t>
        </is>
      </c>
      <c r="I1" s="10" t="inlineStr">
        <is>
          <t>درصد پیشرفت کلی</t>
        </is>
      </c>
      <c r="J1" s="10" t="inlineStr">
        <is>
          <t>وضعیت کلی</t>
        </is>
      </c>
      <c r="K1" s="10" t="inlineStr">
        <is>
          <t>رابط استانی</t>
        </is>
      </c>
      <c r="L1" s="10" t="inlineStr">
        <is>
          <t>تعداد رابطان شهرستانی</t>
        </is>
      </c>
      <c r="M1" s="10" t="inlineStr">
        <is>
          <t>تعداد شهرستان‌های فعال</t>
        </is>
      </c>
      <c r="N1" s="10" t="inlineStr">
        <is>
          <t>نام شهرستان‌های فعال</t>
        </is>
      </c>
      <c r="O1" s="10" t="inlineStr">
        <is>
          <t>تعداد هیأت‌ها و مجموعه‌های شناسایی‌شده</t>
        </is>
      </c>
      <c r="P1" s="10" t="inlineStr">
        <is>
          <t>تعداد روضه‌های خانگی فعال</t>
        </is>
      </c>
      <c r="Q1" s="10" t="inlineStr">
        <is>
          <t>تعداد روضه‌های خانگی برگزارشده</t>
        </is>
      </c>
      <c r="R1" s="10" t="inlineStr">
        <is>
          <t>تعداد مخاطبان</t>
        </is>
      </c>
      <c r="S1" s="10" t="inlineStr">
        <is>
          <t>آخرین اقدام</t>
        </is>
      </c>
      <c r="T1" s="10" t="inlineStr">
        <is>
          <t>اقدام بعدی</t>
        </is>
      </c>
      <c r="U1" s="10" t="inlineStr">
        <is>
          <t>مسائل و موانع</t>
        </is>
      </c>
      <c r="V1" s="10" t="inlineStr">
        <is>
          <t>آخرین به‌روزرسانی</t>
        </is>
      </c>
      <c r="W1" s="10" t="inlineStr">
        <is>
          <t>توضیحات</t>
        </is>
      </c>
    </row>
    <row r="2">
      <c r="A2" s="11" t="inlineStr">
        <is>
          <t>آذربایجان شرقی</t>
        </is>
      </c>
      <c r="B2" s="11" t="inlineStr">
        <is>
          <t>انجام شد</t>
        </is>
      </c>
      <c r="C2" s="11" t="inlineStr">
        <is>
          <t>انجام نشده</t>
        </is>
      </c>
      <c r="D2" s="11" t="inlineStr">
        <is>
          <t>انجام نشده</t>
        </is>
      </c>
      <c r="E2" s="11" t="inlineStr">
        <is>
          <t>انجام نشده</t>
        </is>
      </c>
      <c r="F2" s="11" t="inlineStr">
        <is>
          <t>انجام نشده</t>
        </is>
      </c>
      <c r="G2" s="11" t="inlineStr">
        <is>
          <t>انجام نشده</t>
        </is>
      </c>
      <c r="H2" s="11" t="inlineStr">
        <is>
          <t>انجام نشده</t>
        </is>
      </c>
      <c r="I2" s="12">
        <f>COUNTIF(B2:H2,"انجام شد")/7+COUNTIF(B2:H2,"در حال اجرا")/14</f>
        <v/>
      </c>
      <c r="J2" s="11">
        <f>IF(I2=1,"تکمیل‌شده",IF(I2&gt;0,"در حال اجرا","شروع نشده"))</f>
        <v/>
      </c>
      <c r="K2" s="11" t="n"/>
      <c r="L2" s="11" t="n"/>
      <c r="M2" s="11" t="n"/>
      <c r="N2" s="11" t="n"/>
      <c r="O2" s="11" t="n"/>
      <c r="P2" s="11" t="n"/>
      <c r="Q2" s="11" t="n"/>
      <c r="R2" s="11" t="n"/>
      <c r="S2" s="11">
        <f>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
      </c>
      <c r="T2" s="11">
        <f>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
      </c>
      <c r="U2" s="11" t="n"/>
      <c r="V2" s="11" t="n"/>
      <c r="W2" s="11" t="n"/>
    </row>
    <row r="3">
      <c r="A3" s="11" t="inlineStr">
        <is>
          <t>آذربایجان غربی</t>
        </is>
      </c>
      <c r="B3" s="11" t="inlineStr">
        <is>
          <t>انجام شد</t>
        </is>
      </c>
      <c r="C3" s="11" t="inlineStr">
        <is>
          <t>انجام نشده</t>
        </is>
      </c>
      <c r="D3" s="11" t="inlineStr">
        <is>
          <t>انجام نشده</t>
        </is>
      </c>
      <c r="E3" s="11" t="inlineStr">
        <is>
          <t>انجام نشده</t>
        </is>
      </c>
      <c r="F3" s="11" t="inlineStr">
        <is>
          <t>انجام نشده</t>
        </is>
      </c>
      <c r="G3" s="11" t="inlineStr">
        <is>
          <t>انجام نشده</t>
        </is>
      </c>
      <c r="H3" s="11" t="inlineStr">
        <is>
          <t>انجام نشده</t>
        </is>
      </c>
      <c r="I3" s="12">
        <f>COUNTIF(B3:H3,"انجام شد")/7+COUNTIF(B3:H3,"در حال اجرا")/14</f>
        <v/>
      </c>
      <c r="J3" s="11">
        <f>IF(I3=1,"تکمیل‌شده",IF(I3&gt;0,"در حال اجرا","شروع نشده"))</f>
        <v/>
      </c>
      <c r="K3" s="11" t="n"/>
      <c r="L3" s="11" t="n"/>
      <c r="M3" s="11" t="n"/>
      <c r="N3" s="11" t="n"/>
      <c r="O3" s="11" t="n"/>
      <c r="P3" s="11" t="n"/>
      <c r="Q3" s="11" t="n"/>
      <c r="R3" s="11" t="n"/>
      <c r="S3" s="11">
        <f>IF(COUNTIF(B3:H3,"در حال اجرا")&gt;0,IF(B3="در حال اجرا","شناسایی فعالان در حال انجام",IF(C3="در حال اجرا","رابط استانی در حال انجام",IF(D3="در حال اجرا","رابط شهرستانی در حال انجام",IF(E3="در حال اجرا","همایش استانی در حال انجام",IF(F3="در حال اجرا","توانمندسازی در حال انجام",IF(G3="در حال اجرا","اقدام و استمرار در حال انجام",IF(H3="در حال اجرا","ارزیابی و توسعه در حال انجام",""))))))),IF(COUNTIF(B3:H3,"انجام شد")=0,"هنوز اقدامی انجام نشده",IF(H3="انجام شد","ارزیابی و توسعه انجام شد",IF(G3="انجام شد","اقدام و استمرار انجام شد",IF(F3="انجام شد","توانمندسازی انجام شد",IF(E3="انجام شد","همایش استانی انجام شد",IF(D3="انجام شد","رابط شهرستانی انجام شد",IF(C3="انجام شد","رابط استانی انجام شد",IF(B3="انجام شد","شناسایی فعالان انجام شد","")))))))))</f>
        <v/>
      </c>
      <c r="T3" s="11">
        <f>IF(B3&lt;&gt;"انجام شد","شناسایی فعالان"&amp;IF(B3="در حال اجرا"," تکمیل شود"," آغاز شود"),IF(C3&lt;&gt;"انجام شد","رابط استانی"&amp;IF(C3="در حال اجرا"," تکمیل شود"," آغاز شود"),IF(D3&lt;&gt;"انجام شد","رابط شهرستانی"&amp;IF(D3="در حال اجرا"," تکمیل شود"," آغاز شود"),IF(E3&lt;&gt;"انجام شد","همایش استانی"&amp;IF(E3="در حال اجرا"," تکمیل شود"," آغاز شود"),IF(F3&lt;&gt;"انجام شد","توانمندسازی"&amp;IF(F3="در حال اجرا"," تکمیل شود"," آغاز شود"),IF(G3&lt;&gt;"انجام شد","اقدام و استمرار"&amp;IF(G3="در حال اجرا"," تکمیل شود"," آغاز شود"),IF(H3&lt;&gt;"انجام شد","ارزیابی و توسعه"&amp;IF(H3="در حال اجرا"," تکمیل شود"," آغاز شود"),"همه مراحل انجام شده است")))))))</f>
        <v/>
      </c>
      <c r="U3" s="11" t="n"/>
      <c r="V3" s="11" t="n"/>
      <c r="W3" s="11" t="n"/>
    </row>
    <row r="4">
      <c r="A4" s="11" t="inlineStr">
        <is>
          <t>اردبیل</t>
        </is>
      </c>
      <c r="B4" s="11" t="inlineStr">
        <is>
          <t>انجام شد</t>
        </is>
      </c>
      <c r="C4" s="11" t="inlineStr">
        <is>
          <t>انجام نشده</t>
        </is>
      </c>
      <c r="D4" s="11" t="inlineStr">
        <is>
          <t>انجام نشده</t>
        </is>
      </c>
      <c r="E4" s="11" t="inlineStr">
        <is>
          <t>انجام نشده</t>
        </is>
      </c>
      <c r="F4" s="11" t="inlineStr">
        <is>
          <t>انجام نشده</t>
        </is>
      </c>
      <c r="G4" s="11" t="inlineStr">
        <is>
          <t>انجام نشده</t>
        </is>
      </c>
      <c r="H4" s="11" t="inlineStr">
        <is>
          <t>انجام نشده</t>
        </is>
      </c>
      <c r="I4" s="12">
        <f>COUNTIF(B4:H4,"انجام شد")/7+COUNTIF(B4:H4,"در حال اجرا")/14</f>
        <v/>
      </c>
      <c r="J4" s="11">
        <f>IF(I4=1,"تکمیل‌شده",IF(I4&gt;0,"در حال اجرا","شروع نشده"))</f>
        <v/>
      </c>
      <c r="K4" s="11" t="n"/>
      <c r="L4" s="11" t="n"/>
      <c r="M4" s="11" t="n"/>
      <c r="N4" s="11" t="n"/>
      <c r="O4" s="11" t="n"/>
      <c r="P4" s="11" t="n"/>
      <c r="Q4" s="11" t="n"/>
      <c r="R4" s="11" t="n"/>
      <c r="S4" s="11">
        <f>IF(COUNTIF(B4:H4,"در حال اجرا")&gt;0,IF(B4="در حال اجرا","شناسایی فعالان در حال انجام",IF(C4="در حال اجرا","رابط استانی در حال انجام",IF(D4="در حال اجرا","رابط شهرستانی در حال انجام",IF(E4="در حال اجرا","همایش استانی در حال انجام",IF(F4="در حال اجرا","توانمندسازی در حال انجام",IF(G4="در حال اجرا","اقدام و استمرار در حال انجام",IF(H4="در حال اجرا","ارزیابی و توسعه در حال انجام",""))))))),IF(COUNTIF(B4:H4,"انجام شد")=0,"هنوز اقدامی انجام نشده",IF(H4="انجام شد","ارزیابی و توسعه انجام شد",IF(G4="انجام شد","اقدام و استمرار انجام شد",IF(F4="انجام شد","توانمندسازی انجام شد",IF(E4="انجام شد","همایش استانی انجام شد",IF(D4="انجام شد","رابط شهرستانی انجام شد",IF(C4="انجام شد","رابط استانی انجام شد",IF(B4="انجام شد","شناسایی فعالان انجام شد","")))))))))</f>
        <v/>
      </c>
      <c r="T4" s="11">
        <f>IF(B4&lt;&gt;"انجام شد","شناسایی فعالان"&amp;IF(B4="در حال اجرا"," تکمیل شود"," آغاز شود"),IF(C4&lt;&gt;"انجام شد","رابط استانی"&amp;IF(C4="در حال اجرا"," تکمیل شود"," آغاز شود"),IF(D4&lt;&gt;"انجام شد","رابط شهرستانی"&amp;IF(D4="در حال اجرا"," تکمیل شود"," آغاز شود"),IF(E4&lt;&gt;"انجام شد","همایش استانی"&amp;IF(E4="در حال اجرا"," تکمیل شود"," آغاز شود"),IF(F4&lt;&gt;"انجام شد","توانمندسازی"&amp;IF(F4="در حال اجرا"," تکمیل شود"," آغاز شود"),IF(G4&lt;&gt;"انجام شد","اقدام و استمرار"&amp;IF(G4="در حال اجرا"," تکمیل شود"," آغاز شود"),IF(H4&lt;&gt;"انجام شد","ارزیابی و توسعه"&amp;IF(H4="در حال اجرا"," تکمیل شود"," آغاز شود"),"همه مراحل انجام شده است")))))))</f>
        <v/>
      </c>
      <c r="U4" s="11" t="n"/>
      <c r="V4" s="11" t="n"/>
      <c r="W4" s="11" t="n"/>
    </row>
    <row r="5">
      <c r="A5" s="11" t="inlineStr">
        <is>
          <t>اصفهان</t>
        </is>
      </c>
      <c r="B5" s="11" t="inlineStr">
        <is>
          <t>انجام شد</t>
        </is>
      </c>
      <c r="C5" s="11" t="inlineStr">
        <is>
          <t>انجام نشده</t>
        </is>
      </c>
      <c r="D5" s="11" t="inlineStr">
        <is>
          <t>انجام نشده</t>
        </is>
      </c>
      <c r="E5" s="11" t="inlineStr">
        <is>
          <t>انجام نشده</t>
        </is>
      </c>
      <c r="F5" s="11" t="inlineStr">
        <is>
          <t>انجام نشده</t>
        </is>
      </c>
      <c r="G5" s="11" t="inlineStr">
        <is>
          <t>انجام نشده</t>
        </is>
      </c>
      <c r="H5" s="11" t="inlineStr">
        <is>
          <t>انجام نشده</t>
        </is>
      </c>
      <c r="I5" s="12">
        <f>COUNTIF(B5:H5,"انجام شد")/7+COUNTIF(B5:H5,"در حال اجرا")/14</f>
        <v/>
      </c>
      <c r="J5" s="11">
        <f>IF(I5=1,"تکمیل‌شده",IF(I5&gt;0,"در حال اجرا","شروع نشده"))</f>
        <v/>
      </c>
      <c r="K5" s="11" t="n"/>
      <c r="L5" s="11" t="n"/>
      <c r="M5" s="11" t="n"/>
      <c r="N5" s="11" t="n"/>
      <c r="O5" s="11" t="n"/>
      <c r="P5" s="11" t="n"/>
      <c r="Q5" s="11" t="n"/>
      <c r="R5" s="11" t="n"/>
      <c r="S5" s="11">
        <f>IF(COUNTIF(B5:H5,"در حال اجرا")&gt;0,IF(B5="در حال اجرا","شناسایی فعالان در حال انجام",IF(C5="در حال اجرا","رابط استانی در حال انجام",IF(D5="در حال اجرا","رابط شهرستانی در حال انجام",IF(E5="در حال اجرا","همایش استانی در حال انجام",IF(F5="در حال اجرا","توانمندسازی در حال انجام",IF(G5="در حال اجرا","اقدام و استمرار در حال انجام",IF(H5="در حال اجرا","ارزیابی و توسعه در حال انجام",""))))))),IF(COUNTIF(B5:H5,"انجام شد")=0,"هنوز اقدامی انجام نشده",IF(H5="انجام شد","ارزیابی و توسعه انجام شد",IF(G5="انجام شد","اقدام و استمرار انجام شد",IF(F5="انجام شد","توانمندسازی انجام شد",IF(E5="انجام شد","همایش استانی انجام شد",IF(D5="انجام شد","رابط شهرستانی انجام شد",IF(C5="انجام شد","رابط استانی انجام شد",IF(B5="انجام شد","شناسایی فعالان انجام شد","")))))))))</f>
        <v/>
      </c>
      <c r="T5" s="11">
        <f>IF(B5&lt;&gt;"انجام شد","شناسایی فعالان"&amp;IF(B5="در حال اجرا"," تکمیل شود"," آغاز شود"),IF(C5&lt;&gt;"انجام شد","رابط استانی"&amp;IF(C5="در حال اجرا"," تکمیل شود"," آغاز شود"),IF(D5&lt;&gt;"انجام شد","رابط شهرستانی"&amp;IF(D5="در حال اجرا"," تکمیل شود"," آغاز شود"),IF(E5&lt;&gt;"انجام شد","همایش استانی"&amp;IF(E5="در حال اجرا"," تکمیل شود"," آغاز شود"),IF(F5&lt;&gt;"انجام شد","توانمندسازی"&amp;IF(F5="در حال اجرا"," تکمیل شود"," آغاز شود"),IF(G5&lt;&gt;"انجام شد","اقدام و استمرار"&amp;IF(G5="در حال اجرا"," تکمیل شود"," آغاز شود"),IF(H5&lt;&gt;"انجام شد","ارزیابی و توسعه"&amp;IF(H5="در حال اجرا"," تکمیل شود"," آغاز شود"),"همه مراحل انجام شده است")))))))</f>
        <v/>
      </c>
      <c r="U5" s="11" t="n"/>
      <c r="V5" s="11" t="n"/>
      <c r="W5" s="11" t="n"/>
    </row>
    <row r="6">
      <c r="A6" s="11" t="inlineStr">
        <is>
          <t>البرز</t>
        </is>
      </c>
      <c r="B6" s="11" t="inlineStr">
        <is>
          <t>انجام شد</t>
        </is>
      </c>
      <c r="C6" s="11" t="inlineStr">
        <is>
          <t>انجام نشده</t>
        </is>
      </c>
      <c r="D6" s="11" t="inlineStr">
        <is>
          <t>انجام نشده</t>
        </is>
      </c>
      <c r="E6" s="11" t="inlineStr">
        <is>
          <t>انجام نشده</t>
        </is>
      </c>
      <c r="F6" s="11" t="inlineStr">
        <is>
          <t>انجام نشده</t>
        </is>
      </c>
      <c r="G6" s="11" t="inlineStr">
        <is>
          <t>انجام نشده</t>
        </is>
      </c>
      <c r="H6" s="11" t="inlineStr">
        <is>
          <t>انجام نشده</t>
        </is>
      </c>
      <c r="I6" s="12">
        <f>COUNTIF(B6:H6,"انجام شد")/7+COUNTIF(B6:H6,"در حال اجرا")/14</f>
        <v/>
      </c>
      <c r="J6" s="11">
        <f>IF(I6=1,"تکمیل‌شده",IF(I6&gt;0,"در حال اجرا","شروع نشده"))</f>
        <v/>
      </c>
      <c r="K6" s="11" t="n"/>
      <c r="L6" s="11" t="n"/>
      <c r="M6" s="11" t="n"/>
      <c r="N6" s="11" t="n"/>
      <c r="O6" s="11" t="n"/>
      <c r="P6" s="11" t="n"/>
      <c r="Q6" s="11" t="n"/>
      <c r="R6" s="11" t="n"/>
      <c r="S6" s="11">
        <f>IF(COUNTIF(B6:H6,"در حال اجرا")&gt;0,IF(B6="در حال اجرا","شناسایی فعالان در حال انجام",IF(C6="در حال اجرا","رابط استانی در حال انجام",IF(D6="در حال اجرا","رابط شهرستانی در حال انجام",IF(E6="در حال اجرا","همایش استانی در حال انجام",IF(F6="در حال اجرا","توانمندسازی در حال انجام",IF(G6="در حال اجرا","اقدام و استمرار در حال انجام",IF(H6="در حال اجرا","ارزیابی و توسعه در حال انجام",""))))))),IF(COUNTIF(B6:H6,"انجام شد")=0,"هنوز اقدامی انجام نشده",IF(H6="انجام شد","ارزیابی و توسعه انجام شد",IF(G6="انجام شد","اقدام و استمرار انجام شد",IF(F6="انجام شد","توانمندسازی انجام شد",IF(E6="انجام شد","همایش استانی انجام شد",IF(D6="انجام شد","رابط شهرستانی انجام شد",IF(C6="انجام شد","رابط استانی انجام شد",IF(B6="انجام شد","شناسایی فعالان انجام شد","")))))))))</f>
        <v/>
      </c>
      <c r="T6" s="11">
        <f>IF(B6&lt;&gt;"انجام شد","شناسایی فعالان"&amp;IF(B6="در حال اجرا"," تکمیل شود"," آغاز شود"),IF(C6&lt;&gt;"انجام شد","رابط استانی"&amp;IF(C6="در حال اجرا"," تکمیل شود"," آغاز شود"),IF(D6&lt;&gt;"انجام شد","رابط شهرستانی"&amp;IF(D6="در حال اجرا"," تکمیل شود"," آغاز شود"),IF(E6&lt;&gt;"انجام شد","همایش استانی"&amp;IF(E6="در حال اجرا"," تکمیل شود"," آغاز شود"),IF(F6&lt;&gt;"انجام شد","توانمندسازی"&amp;IF(F6="در حال اجرا"," تکمیل شود"," آغاز شود"),IF(G6&lt;&gt;"انجام شد","اقدام و استمرار"&amp;IF(G6="در حال اجرا"," تکمیل شود"," آغاز شود"),IF(H6&lt;&gt;"انجام شد","ارزیابی و توسعه"&amp;IF(H6="در حال اجرا"," تکمیل شود"," آغاز شود"),"همه مراحل انجام شده است")))))))</f>
        <v/>
      </c>
      <c r="U6" s="11" t="n"/>
      <c r="V6" s="11" t="n"/>
      <c r="W6" s="11" t="n"/>
    </row>
    <row r="7">
      <c r="A7" s="11" t="inlineStr">
        <is>
          <t>ایلام</t>
        </is>
      </c>
      <c r="B7" s="11" t="inlineStr">
        <is>
          <t>انجام شد</t>
        </is>
      </c>
      <c r="C7" s="11" t="inlineStr">
        <is>
          <t>انجام نشده</t>
        </is>
      </c>
      <c r="D7" s="11" t="inlineStr">
        <is>
          <t>انجام نشده</t>
        </is>
      </c>
      <c r="E7" s="11" t="inlineStr">
        <is>
          <t>انجام نشده</t>
        </is>
      </c>
      <c r="F7" s="11" t="inlineStr">
        <is>
          <t>انجام نشده</t>
        </is>
      </c>
      <c r="G7" s="11" t="inlineStr">
        <is>
          <t>انجام نشده</t>
        </is>
      </c>
      <c r="H7" s="11" t="inlineStr">
        <is>
          <t>انجام نشده</t>
        </is>
      </c>
      <c r="I7" s="12">
        <f>COUNTIF(B7:H7,"انجام شد")/7+COUNTIF(B7:H7,"در حال اجرا")/14</f>
        <v/>
      </c>
      <c r="J7" s="11">
        <f>IF(I7=1,"تکمیل‌شده",IF(I7&gt;0,"در حال اجرا","شروع نشده"))</f>
        <v/>
      </c>
      <c r="K7" s="11" t="n"/>
      <c r="L7" s="11" t="n"/>
      <c r="M7" s="11" t="n"/>
      <c r="N7" s="11" t="n"/>
      <c r="O7" s="11" t="n"/>
      <c r="P7" s="11" t="n"/>
      <c r="Q7" s="11" t="n"/>
      <c r="R7" s="11" t="n"/>
      <c r="S7" s="11">
        <f>IF(COUNTIF(B7:H7,"در حال اجرا")&gt;0,IF(B7="در حال اجرا","شناسایی فعالان در حال انجام",IF(C7="در حال اجرا","رابط استانی در حال انجام",IF(D7="در حال اجرا","رابط شهرستانی در حال انجام",IF(E7="در حال اجرا","همایش استانی در حال انجام",IF(F7="در حال اجرا","توانمندسازی در حال انجام",IF(G7="در حال اجرا","اقدام و استمرار در حال انجام",IF(H7="در حال اجرا","ارزیابی و توسعه در حال انجام",""))))))),IF(COUNTIF(B7:H7,"انجام شد")=0,"هنوز اقدامی انجام نشده",IF(H7="انجام شد","ارزیابی و توسعه انجام شد",IF(G7="انجام شد","اقدام و استمرار انجام شد",IF(F7="انجام شد","توانمندسازی انجام شد",IF(E7="انجام شد","همایش استانی انجام شد",IF(D7="انجام شد","رابط شهرستانی انجام شد",IF(C7="انجام شد","رابط استانی انجام شد",IF(B7="انجام شد","شناسایی فعالان انجام شد","")))))))))</f>
        <v/>
      </c>
      <c r="T7" s="11">
        <f>IF(B7&lt;&gt;"انجام شد","شناسایی فعالان"&amp;IF(B7="در حال اجرا"," تکمیل شود"," آغاز شود"),IF(C7&lt;&gt;"انجام شد","رابط استانی"&amp;IF(C7="در حال اجرا"," تکمیل شود"," آغاز شود"),IF(D7&lt;&gt;"انجام شد","رابط شهرستانی"&amp;IF(D7="در حال اجرا"," تکمیل شود"," آغاز شود"),IF(E7&lt;&gt;"انجام شد","همایش استانی"&amp;IF(E7="در حال اجرا"," تکمیل شود"," آغاز شود"),IF(F7&lt;&gt;"انجام شد","توانمندسازی"&amp;IF(F7="در حال اجرا"," تکمیل شود"," آغاز شود"),IF(G7&lt;&gt;"انجام شد","اقدام و استمرار"&amp;IF(G7="در حال اجرا"," تکمیل شود"," آغاز شود"),IF(H7&lt;&gt;"انجام شد","ارزیابی و توسعه"&amp;IF(H7="در حال اجرا"," تکمیل شود"," آغاز شود"),"همه مراحل انجام شده است")))))))</f>
        <v/>
      </c>
      <c r="U7" s="11" t="n"/>
      <c r="V7" s="11" t="n"/>
      <c r="W7" s="11" t="n"/>
    </row>
    <row r="8">
      <c r="A8" s="11" t="inlineStr">
        <is>
          <t>بوشهر</t>
        </is>
      </c>
      <c r="B8" s="11" t="inlineStr">
        <is>
          <t>انجام شد</t>
        </is>
      </c>
      <c r="C8" s="11" t="inlineStr">
        <is>
          <t>در حال اجرا</t>
        </is>
      </c>
      <c r="D8" s="11" t="inlineStr">
        <is>
          <t>انجام نشده</t>
        </is>
      </c>
      <c r="E8" s="11" t="inlineStr">
        <is>
          <t>انجام نشده</t>
        </is>
      </c>
      <c r="F8" s="11" t="inlineStr">
        <is>
          <t>انجام نشده</t>
        </is>
      </c>
      <c r="G8" s="11" t="inlineStr">
        <is>
          <t>انجام نشده</t>
        </is>
      </c>
      <c r="H8" s="11" t="inlineStr">
        <is>
          <t>انجام نشده</t>
        </is>
      </c>
      <c r="I8" s="12">
        <f>COUNTIF(B8:H8,"انجام شد")/7+COUNTIF(B8:H8,"در حال اجرا")/14</f>
        <v/>
      </c>
      <c r="J8" s="11">
        <f>IF(I8=1,"تکمیل‌شده",IF(I8&gt;0,"در حال اجرا","شروع نشده"))</f>
        <v/>
      </c>
      <c r="K8" s="11" t="n"/>
      <c r="L8" s="11" t="n"/>
      <c r="M8" s="11" t="n"/>
      <c r="N8" s="11" t="n"/>
      <c r="O8" s="11" t="n"/>
      <c r="P8" s="11" t="n"/>
      <c r="Q8" s="11" t="n"/>
      <c r="R8" s="11" t="n"/>
      <c r="S8" s="11">
        <f>IF(COUNTIF(B8:H8,"در حال اجرا")&gt;0,IF(B8="در حال اجرا","شناسایی فعالان در حال انجام",IF(C8="در حال اجرا","رابط استانی در حال انجام",IF(D8="در حال اجرا","رابط شهرستانی در حال انجام",IF(E8="در حال اجرا","همایش استانی در حال انجام",IF(F8="در حال اجرا","توانمندسازی در حال انجام",IF(G8="در حال اجرا","اقدام و استمرار در حال انجام",IF(H8="در حال اجرا","ارزیابی و توسعه در حال انجام",""))))))),IF(COUNTIF(B8:H8,"انجام شد")=0,"هنوز اقدامی انجام نشده",IF(H8="انجام شد","ارزیابی و توسعه انجام شد",IF(G8="انجام شد","اقدام و استمرار انجام شد",IF(F8="انجام شد","توانمندسازی انجام شد",IF(E8="انجام شد","همایش استانی انجام شد",IF(D8="انجام شد","رابط شهرستانی انجام شد",IF(C8="انجام شد","رابط استانی انجام شد",IF(B8="انجام شد","شناسایی فعالان انجام شد","")))))))))</f>
        <v/>
      </c>
      <c r="T8" s="11">
        <f>IF(B8&lt;&gt;"انجام شد","شناسایی فعالان"&amp;IF(B8="در حال اجرا"," تکمیل شود"," آغاز شود"),IF(C8&lt;&gt;"انجام شد","رابط استانی"&amp;IF(C8="در حال اجرا"," تکمیل شود"," آغاز شود"),IF(D8&lt;&gt;"انجام شد","رابط شهرستانی"&amp;IF(D8="در حال اجرا"," تکمیل شود"," آغاز شود"),IF(E8&lt;&gt;"انجام شد","همایش استانی"&amp;IF(E8="در حال اجرا"," تکمیل شود"," آغاز شود"),IF(F8&lt;&gt;"انجام شد","توانمندسازی"&amp;IF(F8="در حال اجرا"," تکمیل شود"," آغاز شود"),IF(G8&lt;&gt;"انجام شد","اقدام و استمرار"&amp;IF(G8="در حال اجرا"," تکمیل شود"," آغاز شود"),IF(H8&lt;&gt;"انجام شد","ارزیابی و توسعه"&amp;IF(H8="در حال اجرا"," تکمیل شود"," آغاز شود"),"همه مراحل انجام شده است")))))))</f>
        <v/>
      </c>
      <c r="U8" s="11" t="n"/>
      <c r="V8" s="11" t="n"/>
      <c r="W8" s="11" t="n"/>
    </row>
    <row r="9">
      <c r="A9" s="11" t="inlineStr">
        <is>
          <t>تهران</t>
        </is>
      </c>
      <c r="B9" s="11" t="inlineStr">
        <is>
          <t>انجام شد</t>
        </is>
      </c>
      <c r="C9" s="11" t="inlineStr">
        <is>
          <t>انجام نشده</t>
        </is>
      </c>
      <c r="D9" s="11" t="inlineStr">
        <is>
          <t>انجام نشده</t>
        </is>
      </c>
      <c r="E9" s="11" t="inlineStr">
        <is>
          <t>انجام نشده</t>
        </is>
      </c>
      <c r="F9" s="11" t="inlineStr">
        <is>
          <t>انجام نشده</t>
        </is>
      </c>
      <c r="G9" s="11" t="inlineStr">
        <is>
          <t>انجام نشده</t>
        </is>
      </c>
      <c r="H9" s="11" t="inlineStr">
        <is>
          <t>انجام نشده</t>
        </is>
      </c>
      <c r="I9" s="12">
        <f>COUNTIF(B9:H9,"انجام شد")/7+COUNTIF(B9:H9,"در حال اجرا")/14</f>
        <v/>
      </c>
      <c r="J9" s="11">
        <f>IF(I9=1,"تکمیل‌شده",IF(I9&gt;0,"در حال اجرا","شروع نشده"))</f>
        <v/>
      </c>
      <c r="K9" s="11" t="n"/>
      <c r="L9" s="11" t="n"/>
      <c r="M9" s="11" t="n"/>
      <c r="N9" s="11" t="n"/>
      <c r="O9" s="11" t="n"/>
      <c r="P9" s="11" t="n"/>
      <c r="Q9" s="11" t="n"/>
      <c r="R9" s="11" t="n"/>
      <c r="S9" s="11">
        <f>IF(COUNTIF(B9:H9,"در حال اجرا")&gt;0,IF(B9="در حال اجرا","شناسایی فعالان در حال انجام",IF(C9="در حال اجرا","رابط استانی در حال انجام",IF(D9="در حال اجرا","رابط شهرستانی در حال انجام",IF(E9="در حال اجرا","همایش استانی در حال انجام",IF(F9="در حال اجرا","توانمندسازی در حال انجام",IF(G9="در حال اجرا","اقدام و استمرار در حال انجام",IF(H9="در حال اجرا","ارزیابی و توسعه در حال انجام",""))))))),IF(COUNTIF(B9:H9,"انجام شد")=0,"هنوز اقدامی انجام نشده",IF(H9="انجام شد","ارزیابی و توسعه انجام شد",IF(G9="انجام شد","اقدام و استمرار انجام شد",IF(F9="انجام شد","توانمندسازی انجام شد",IF(E9="انجام شد","همایش استانی انجام شد",IF(D9="انجام شد","رابط شهرستانی انجام شد",IF(C9="انجام شد","رابط استانی انجام شد",IF(B9="انجام شد","شناسایی فعالان انجام شد","")))))))))</f>
        <v/>
      </c>
      <c r="T9" s="11">
        <f>IF(B9&lt;&gt;"انجام شد","شناسایی فعالان"&amp;IF(B9="در حال اجرا"," تکمیل شود"," آغاز شود"),IF(C9&lt;&gt;"انجام شد","رابط استانی"&amp;IF(C9="در حال اجرا"," تکمیل شود"," آغاز شود"),IF(D9&lt;&gt;"انجام شد","رابط شهرستانی"&amp;IF(D9="در حال اجرا"," تکمیل شود"," آغاز شود"),IF(E9&lt;&gt;"انجام شد","همایش استانی"&amp;IF(E9="در حال اجرا"," تکمیل شود"," آغاز شود"),IF(F9&lt;&gt;"انجام شد","توانمندسازی"&amp;IF(F9="در حال اجرا"," تکمیل شود"," آغاز شود"),IF(G9&lt;&gt;"انجام شد","اقدام و استمرار"&amp;IF(G9="در حال اجرا"," تکمیل شود"," آغاز شود"),IF(H9&lt;&gt;"انجام شد","ارزیابی و توسعه"&amp;IF(H9="در حال اجرا"," تکمیل شود"," آغاز شود"),"همه مراحل انجام شده است")))))))</f>
        <v/>
      </c>
      <c r="U9" s="11" t="n"/>
      <c r="V9" s="11" t="n"/>
      <c r="W9" s="11" t="n"/>
    </row>
    <row r="10">
      <c r="A10" s="11" t="inlineStr">
        <is>
          <t>چهارمحال و بختیاری</t>
        </is>
      </c>
      <c r="B10" s="11" t="inlineStr">
        <is>
          <t>انجام شد</t>
        </is>
      </c>
      <c r="C10" s="11" t="inlineStr">
        <is>
          <t>در حال اجرا</t>
        </is>
      </c>
      <c r="D10" s="11" t="inlineStr">
        <is>
          <t>انجام نشده</t>
        </is>
      </c>
      <c r="E10" s="11" t="inlineStr">
        <is>
          <t>انجام نشده</t>
        </is>
      </c>
      <c r="F10" s="11" t="inlineStr">
        <is>
          <t>انجام نشده</t>
        </is>
      </c>
      <c r="G10" s="11" t="inlineStr">
        <is>
          <t>انجام نشده</t>
        </is>
      </c>
      <c r="H10" s="11" t="inlineStr">
        <is>
          <t>انجام نشده</t>
        </is>
      </c>
      <c r="I10" s="12">
        <f>COUNTIF(B10:H10,"انجام شد")/7+COUNTIF(B10:H10,"در حال اجرا")/14</f>
        <v/>
      </c>
      <c r="J10" s="11">
        <f>IF(I10=1,"تکمیل‌شده",IF(I10&gt;0,"در حال اجرا","شروع نشده"))</f>
        <v/>
      </c>
      <c r="K10" s="11" t="n"/>
      <c r="L10" s="11" t="n"/>
      <c r="M10" s="11" t="n"/>
      <c r="N10" s="11" t="n"/>
      <c r="O10" s="11" t="n"/>
      <c r="P10" s="11" t="n"/>
      <c r="Q10" s="11" t="n"/>
      <c r="R10" s="11" t="n"/>
      <c r="S10" s="11">
        <f>IF(COUNTIF(B10:H10,"در حال اجرا")&gt;0,IF(B10="در حال اجرا","شناسایی فعالان در حال انجام",IF(C10="در حال اجرا","رابط استانی در حال انجام",IF(D10="در حال اجرا","رابط شهرستانی در حال انجام",IF(E10="در حال اجرا","همایش استانی در حال انجام",IF(F10="در حال اجرا","توانمندسازی در حال انجام",IF(G10="در حال اجرا","اقدام و استمرار در حال انجام",IF(H10="در حال اجرا","ارزیابی و توسعه در حال انجام",""))))))),IF(COUNTIF(B10:H10,"انجام شد")=0,"هنوز اقدامی انجام نشده",IF(H10="انجام شد","ارزیابی و توسعه انجام شد",IF(G10="انجام شد","اقدام و استمرار انجام شد",IF(F10="انجام شد","توانمندسازی انجام شد",IF(E10="انجام شد","همایش استانی انجام شد",IF(D10="انجام شد","رابط شهرستانی انجام شد",IF(C10="انجام شد","رابط استانی انجام شد",IF(B10="انجام شد","شناسایی فعالان انجام شد","")))))))))</f>
        <v/>
      </c>
      <c r="T10" s="11">
        <f>IF(B10&lt;&gt;"انجام شد","شناسایی فعالان"&amp;IF(B10="در حال اجرا"," تکمیل شود"," آغاز شود"),IF(C10&lt;&gt;"انجام شد","رابط استانی"&amp;IF(C10="در حال اجرا"," تکمیل شود"," آغاز شود"),IF(D10&lt;&gt;"انجام شد","رابط شهرستانی"&amp;IF(D10="در حال اجرا"," تکمیل شود"," آغاز شود"),IF(E10&lt;&gt;"انجام شد","همایش استانی"&amp;IF(E10="در حال اجرا"," تکمیل شود"," آغاز شود"),IF(F10&lt;&gt;"انجام شد","توانمندسازی"&amp;IF(F10="در حال اجرا"," تکمیل شود"," آغاز شود"),IF(G10&lt;&gt;"انجام شد","اقدام و استمرار"&amp;IF(G10="در حال اجرا"," تکمیل شود"," آغاز شود"),IF(H10&lt;&gt;"انجام شد","ارزیابی و توسعه"&amp;IF(H10="در حال اجرا"," تکمیل شود"," آغاز شود"),"همه مراحل انجام شده است")))))))</f>
        <v/>
      </c>
      <c r="U10" s="11" t="n"/>
      <c r="V10" s="11" t="n"/>
      <c r="W10" s="11" t="n"/>
    </row>
    <row r="11">
      <c r="A11" s="11" t="inlineStr">
        <is>
          <t>خراسان جنوبی</t>
        </is>
      </c>
      <c r="B11" s="11" t="inlineStr">
        <is>
          <t>انجام شد</t>
        </is>
      </c>
      <c r="C11" s="11" t="inlineStr">
        <is>
          <t>انجام نشده</t>
        </is>
      </c>
      <c r="D11" s="11" t="inlineStr">
        <is>
          <t>انجام نشده</t>
        </is>
      </c>
      <c r="E11" s="11" t="inlineStr">
        <is>
          <t>انجام نشده</t>
        </is>
      </c>
      <c r="F11" s="11" t="inlineStr">
        <is>
          <t>انجام نشده</t>
        </is>
      </c>
      <c r="G11" s="11" t="inlineStr">
        <is>
          <t>انجام نشده</t>
        </is>
      </c>
      <c r="H11" s="11" t="inlineStr">
        <is>
          <t>انجام نشده</t>
        </is>
      </c>
      <c r="I11" s="12">
        <f>COUNTIF(B11:H11,"انجام شد")/7+COUNTIF(B11:H11,"در حال اجرا")/14</f>
        <v/>
      </c>
      <c r="J11" s="11">
        <f>IF(I11=1,"تکمیل‌شده",IF(I11&gt;0,"در حال اجرا","شروع نشده"))</f>
        <v/>
      </c>
      <c r="K11" s="11" t="n"/>
      <c r="L11" s="11" t="n"/>
      <c r="M11" s="11" t="n"/>
      <c r="N11" s="11" t="n"/>
      <c r="O11" s="11" t="n"/>
      <c r="P11" s="11" t="n"/>
      <c r="Q11" s="11" t="n"/>
      <c r="R11" s="11" t="n"/>
      <c r="S11" s="11">
        <f>IF(COUNTIF(B11:H11,"در حال اجرا")&gt;0,IF(B11="در حال اجرا","شناسایی فعالان در حال انجام",IF(C11="در حال اجرا","رابط استانی در حال انجام",IF(D11="در حال اجرا","رابط شهرستانی در حال انجام",IF(E11="در حال اجرا","همایش استانی در حال انجام",IF(F11="در حال اجرا","توانمندسازی در حال انجام",IF(G11="در حال اجرا","اقدام و استمرار در حال انجام",IF(H11="در حال اجرا","ارزیابی و توسعه در حال انجام",""))))))),IF(COUNTIF(B11:H11,"انجام شد")=0,"هنوز اقدامی انجام نشده",IF(H11="انجام شد","ارزیابی و توسعه انجام شد",IF(G11="انجام شد","اقدام و استمرار انجام شد",IF(F11="انجام شد","توانمندسازی انجام شد",IF(E11="انجام شد","همایش استانی انجام شد",IF(D11="انجام شد","رابط شهرستانی انجام شد",IF(C11="انجام شد","رابط استانی انجام شد",IF(B11="انجام شد","شناسایی فعالان انجام شد","")))))))))</f>
        <v/>
      </c>
      <c r="T11" s="11">
        <f>IF(B11&lt;&gt;"انجام شد","شناسایی فعالان"&amp;IF(B11="در حال اجرا"," تکمیل شود"," آغاز شود"),IF(C11&lt;&gt;"انجام شد","رابط استانی"&amp;IF(C11="در حال اجرا"," تکمیل شود"," آغاز شود"),IF(D11&lt;&gt;"انجام شد","رابط شهرستانی"&amp;IF(D11="در حال اجرا"," تکمیل شود"," آغاز شود"),IF(E11&lt;&gt;"انجام شد","همایش استانی"&amp;IF(E11="در حال اجرا"," تکمیل شود"," آغاز شود"),IF(F11&lt;&gt;"انجام شد","توانمندسازی"&amp;IF(F11="در حال اجرا"," تکمیل شود"," آغاز شود"),IF(G11&lt;&gt;"انجام شد","اقدام و استمرار"&amp;IF(G11="در حال اجرا"," تکمیل شود"," آغاز شود"),IF(H11&lt;&gt;"انجام شد","ارزیابی و توسعه"&amp;IF(H11="در حال اجرا"," تکمیل شود"," آغاز شود"),"همه مراحل انجام شده است")))))))</f>
        <v/>
      </c>
      <c r="U11" s="11" t="n"/>
      <c r="V11" s="11" t="n"/>
      <c r="W11" s="11" t="n"/>
    </row>
    <row r="12">
      <c r="A12" s="11" t="inlineStr">
        <is>
          <t>خراسان رضوی</t>
        </is>
      </c>
      <c r="B12" s="11" t="inlineStr">
        <is>
          <t>انجام شد</t>
        </is>
      </c>
      <c r="C12" s="11" t="inlineStr">
        <is>
          <t>انجام نشده</t>
        </is>
      </c>
      <c r="D12" s="11" t="inlineStr">
        <is>
          <t>انجام نشده</t>
        </is>
      </c>
      <c r="E12" s="11" t="inlineStr">
        <is>
          <t>انجام نشده</t>
        </is>
      </c>
      <c r="F12" s="11" t="inlineStr">
        <is>
          <t>انجام نشده</t>
        </is>
      </c>
      <c r="G12" s="11" t="inlineStr">
        <is>
          <t>انجام نشده</t>
        </is>
      </c>
      <c r="H12" s="11" t="inlineStr">
        <is>
          <t>انجام نشده</t>
        </is>
      </c>
      <c r="I12" s="12">
        <f>COUNTIF(B12:H12,"انجام شد")/7+COUNTIF(B12:H12,"در حال اجرا")/14</f>
        <v/>
      </c>
      <c r="J12" s="11">
        <f>IF(I12=1,"تکمیل‌شده",IF(I12&gt;0,"در حال اجرا","شروع نشده"))</f>
        <v/>
      </c>
      <c r="K12" s="11" t="n"/>
      <c r="L12" s="11" t="n"/>
      <c r="M12" s="11" t="n"/>
      <c r="N12" s="11" t="n"/>
      <c r="O12" s="11" t="n"/>
      <c r="P12" s="11" t="n"/>
      <c r="Q12" s="11" t="n"/>
      <c r="R12" s="11" t="n"/>
      <c r="S12" s="11">
        <f>IF(COUNTIF(B12:H12,"در حال اجرا")&gt;0,IF(B12="در حال اجرا","شناسایی فعالان در حال انجام",IF(C12="در حال اجرا","رابط استانی در حال انجام",IF(D12="در حال اجرا","رابط شهرستانی در حال انجام",IF(E12="در حال اجرا","همایش استانی در حال انجام",IF(F12="در حال اجرا","توانمندسازی در حال انجام",IF(G12="در حال اجرا","اقدام و استمرار در حال انجام",IF(H12="در حال اجرا","ارزیابی و توسعه در حال انجام",""))))))),IF(COUNTIF(B12:H12,"انجام شد")=0,"هنوز اقدامی انجام نشده",IF(H12="انجام شد","ارزیابی و توسعه انجام شد",IF(G12="انجام شد","اقدام و استمرار انجام شد",IF(F12="انجام شد","توانمندسازی انجام شد",IF(E12="انجام شد","همایش استانی انجام شد",IF(D12="انجام شد","رابط شهرستانی انجام شد",IF(C12="انجام شد","رابط استانی انجام شد",IF(B12="انجام شد","شناسایی فعالان انجام شد","")))))))))</f>
        <v/>
      </c>
      <c r="T12" s="11">
        <f>IF(B12&lt;&gt;"انجام شد","شناسایی فعالان"&amp;IF(B12="در حال اجرا"," تکمیل شود"," آغاز شود"),IF(C12&lt;&gt;"انجام شد","رابط استانی"&amp;IF(C12="در حال اجرا"," تکمیل شود"," آغاز شود"),IF(D12&lt;&gt;"انجام شد","رابط شهرستانی"&amp;IF(D12="در حال اجرا"," تکمیل شود"," آغاز شود"),IF(E12&lt;&gt;"انجام شد","همایش استانی"&amp;IF(E12="در حال اجرا"," تکمیل شود"," آغاز شود"),IF(F12&lt;&gt;"انجام شد","توانمندسازی"&amp;IF(F12="در حال اجرا"," تکمیل شود"," آغاز شود"),IF(G12&lt;&gt;"انجام شد","اقدام و استمرار"&amp;IF(G12="در حال اجرا"," تکمیل شود"," آغاز شود"),IF(H12&lt;&gt;"انجام شد","ارزیابی و توسعه"&amp;IF(H12="در حال اجرا"," تکمیل شود"," آغاز شود"),"همه مراحل انجام شده است")))))))</f>
        <v/>
      </c>
      <c r="U12" s="11" t="n"/>
      <c r="V12" s="11" t="n"/>
      <c r="W12" s="11" t="n"/>
    </row>
    <row r="13">
      <c r="A13" s="11" t="inlineStr">
        <is>
          <t>خراسان شمالی</t>
        </is>
      </c>
      <c r="B13" s="11" t="inlineStr">
        <is>
          <t>انجام شد</t>
        </is>
      </c>
      <c r="C13" s="11" t="inlineStr">
        <is>
          <t>انجام نشده</t>
        </is>
      </c>
      <c r="D13" s="11" t="inlineStr">
        <is>
          <t>انجام نشده</t>
        </is>
      </c>
      <c r="E13" s="11" t="inlineStr">
        <is>
          <t>انجام نشده</t>
        </is>
      </c>
      <c r="F13" s="11" t="inlineStr">
        <is>
          <t>انجام نشده</t>
        </is>
      </c>
      <c r="G13" s="11" t="inlineStr">
        <is>
          <t>انجام نشده</t>
        </is>
      </c>
      <c r="H13" s="11" t="inlineStr">
        <is>
          <t>انجام نشده</t>
        </is>
      </c>
      <c r="I13" s="12">
        <f>COUNTIF(B13:H13,"انجام شد")/7+COUNTIF(B13:H13,"در حال اجرا")/14</f>
        <v/>
      </c>
      <c r="J13" s="11">
        <f>IF(I13=1,"تکمیل‌شده",IF(I13&gt;0,"در حال اجرا","شروع نشده"))</f>
        <v/>
      </c>
      <c r="K13" s="11" t="n"/>
      <c r="L13" s="11" t="n"/>
      <c r="M13" s="11" t="n"/>
      <c r="N13" s="11" t="n"/>
      <c r="O13" s="11" t="n"/>
      <c r="P13" s="11" t="n"/>
      <c r="Q13" s="11" t="n"/>
      <c r="R13" s="11" t="n"/>
      <c r="S13" s="11">
        <f>IF(COUNTIF(B13:H13,"در حال اجرا")&gt;0,IF(B13="در حال اجرا","شناسایی فعالان در حال انجام",IF(C13="در حال اجرا","رابط استانی در حال انجام",IF(D13="در حال اجرا","رابط شهرستانی در حال انجام",IF(E13="در حال اجرا","همایش استانی در حال انجام",IF(F13="در حال اجرا","توانمندسازی در حال انجام",IF(G13="در حال اجرا","اقدام و استمرار در حال انجام",IF(H13="در حال اجرا","ارزیابی و توسعه در حال انجام",""))))))),IF(COUNTIF(B13:H13,"انجام شد")=0,"هنوز اقدامی انجام نشده",IF(H13="انجام شد","ارزیابی و توسعه انجام شد",IF(G13="انجام شد","اقدام و استمرار انجام شد",IF(F13="انجام شد","توانمندسازی انجام شد",IF(E13="انجام شد","همایش استانی انجام شد",IF(D13="انجام شد","رابط شهرستانی انجام شد",IF(C13="انجام شد","رابط استانی انجام شد",IF(B13="انجام شد","شناسایی فعالان انجام شد","")))))))))</f>
        <v/>
      </c>
      <c r="T13" s="11">
        <f>IF(B13&lt;&gt;"انجام شد","شناسایی فعالان"&amp;IF(B13="در حال اجرا"," تکمیل شود"," آغاز شود"),IF(C13&lt;&gt;"انجام شد","رابط استانی"&amp;IF(C13="در حال اجرا"," تکمیل شود"," آغاز شود"),IF(D13&lt;&gt;"انجام شد","رابط شهرستانی"&amp;IF(D13="در حال اجرا"," تکمیل شود"," آغاز شود"),IF(E13&lt;&gt;"انجام شد","همایش استانی"&amp;IF(E13="در حال اجرا"," تکمیل شود"," آغاز شود"),IF(F13&lt;&gt;"انجام شد","توانمندسازی"&amp;IF(F13="در حال اجرا"," تکمیل شود"," آغاز شود"),IF(G13&lt;&gt;"انجام شد","اقدام و استمرار"&amp;IF(G13="در حال اجرا"," تکمیل شود"," آغاز شود"),IF(H13&lt;&gt;"انجام شد","ارزیابی و توسعه"&amp;IF(H13="در حال اجرا"," تکمیل شود"," آغاز شود"),"همه مراحل انجام شده است")))))))</f>
        <v/>
      </c>
      <c r="U13" s="11" t="n"/>
      <c r="V13" s="11" t="n"/>
      <c r="W13" s="11" t="n"/>
    </row>
    <row r="14">
      <c r="A14" s="11" t="inlineStr">
        <is>
          <t>خوزستان</t>
        </is>
      </c>
      <c r="B14" s="11" t="inlineStr">
        <is>
          <t>انجام شد</t>
        </is>
      </c>
      <c r="C14" s="11" t="inlineStr">
        <is>
          <t>انجام نشده</t>
        </is>
      </c>
      <c r="D14" s="11" t="inlineStr">
        <is>
          <t>انجام نشده</t>
        </is>
      </c>
      <c r="E14" s="11" t="inlineStr">
        <is>
          <t>انجام نشده</t>
        </is>
      </c>
      <c r="F14" s="11" t="inlineStr">
        <is>
          <t>انجام نشده</t>
        </is>
      </c>
      <c r="G14" s="11" t="inlineStr">
        <is>
          <t>انجام نشده</t>
        </is>
      </c>
      <c r="H14" s="11" t="inlineStr">
        <is>
          <t>انجام نشده</t>
        </is>
      </c>
      <c r="I14" s="12">
        <f>COUNTIF(B14:H14,"انجام شد")/7+COUNTIF(B14:H14,"در حال اجرا")/14</f>
        <v/>
      </c>
      <c r="J14" s="11">
        <f>IF(I14=1,"تکمیل‌شده",IF(I14&gt;0,"در حال اجرا","شروع نشده"))</f>
        <v/>
      </c>
      <c r="K14" s="11" t="n"/>
      <c r="L14" s="11" t="n"/>
      <c r="M14" s="11" t="n"/>
      <c r="N14" s="11" t="n"/>
      <c r="O14" s="11" t="n"/>
      <c r="P14" s="11" t="n"/>
      <c r="Q14" s="11" t="n"/>
      <c r="R14" s="11" t="n"/>
      <c r="S14" s="11">
        <f>IF(COUNTIF(B14:H14,"در حال اجرا")&gt;0,IF(B14="در حال اجرا","شناسایی فعالان در حال انجام",IF(C14="در حال اجرا","رابط استانی در حال انجام",IF(D14="در حال اجرا","رابط شهرستانی در حال انجام",IF(E14="در حال اجرا","همایش استانی در حال انجام",IF(F14="در حال اجرا","توانمندسازی در حال انجام",IF(G14="در حال اجرا","اقدام و استمرار در حال انجام",IF(H14="در حال اجرا","ارزیابی و توسعه در حال انجام",""))))))),IF(COUNTIF(B14:H14,"انجام شد")=0,"هنوز اقدامی انجام نشده",IF(H14="انجام شد","ارزیابی و توسعه انجام شد",IF(G14="انجام شد","اقدام و استمرار انجام شد",IF(F14="انجام شد","توانمندسازی انجام شد",IF(E14="انجام شد","همایش استانی انجام شد",IF(D14="انجام شد","رابط شهرستانی انجام شد",IF(C14="انجام شد","رابط استانی انجام شد",IF(B14="انجام شد","شناسایی فعالان انجام شد","")))))))))</f>
        <v/>
      </c>
      <c r="T14" s="11">
        <f>IF(B14&lt;&gt;"انجام شد","شناسایی فعالان"&amp;IF(B14="در حال اجرا"," تکمیل شود"," آغاز شود"),IF(C14&lt;&gt;"انجام شد","رابط استانی"&amp;IF(C14="در حال اجرا"," تکمیل شود"," آغاز شود"),IF(D14&lt;&gt;"انجام شد","رابط شهرستانی"&amp;IF(D14="در حال اجرا"," تکمیل شود"," آغاز شود"),IF(E14&lt;&gt;"انجام شد","همایش استانی"&amp;IF(E14="در حال اجرا"," تکمیل شود"," آغاز شود"),IF(F14&lt;&gt;"انجام شد","توانمندسازی"&amp;IF(F14="در حال اجرا"," تکمیل شود"," آغاز شود"),IF(G14&lt;&gt;"انجام شد","اقدام و استمرار"&amp;IF(G14="در حال اجرا"," تکمیل شود"," آغاز شود"),IF(H14&lt;&gt;"انجام شد","ارزیابی و توسعه"&amp;IF(H14="در حال اجرا"," تکمیل شود"," آغاز شود"),"همه مراحل انجام شده است")))))))</f>
        <v/>
      </c>
      <c r="U14" s="11" t="n"/>
      <c r="V14" s="11" t="n"/>
      <c r="W14" s="11" t="n"/>
    </row>
    <row r="15">
      <c r="A15" s="11" t="inlineStr">
        <is>
          <t>زنجان</t>
        </is>
      </c>
      <c r="B15" s="11" t="inlineStr">
        <is>
          <t>انجام شد</t>
        </is>
      </c>
      <c r="C15" s="11" t="inlineStr">
        <is>
          <t>انجام نشده</t>
        </is>
      </c>
      <c r="D15" s="11" t="inlineStr">
        <is>
          <t>انجام نشده</t>
        </is>
      </c>
      <c r="E15" s="11" t="inlineStr">
        <is>
          <t>انجام نشده</t>
        </is>
      </c>
      <c r="F15" s="11" t="inlineStr">
        <is>
          <t>انجام نشده</t>
        </is>
      </c>
      <c r="G15" s="11" t="inlineStr">
        <is>
          <t>انجام نشده</t>
        </is>
      </c>
      <c r="H15" s="11" t="inlineStr">
        <is>
          <t>انجام نشده</t>
        </is>
      </c>
      <c r="I15" s="12">
        <f>COUNTIF(B15:H15,"انجام شد")/7+COUNTIF(B15:H15,"در حال اجرا")/14</f>
        <v/>
      </c>
      <c r="J15" s="11">
        <f>IF(I15=1,"تکمیل‌شده",IF(I15&gt;0,"در حال اجرا","شروع نشده"))</f>
        <v/>
      </c>
      <c r="K15" s="11" t="n"/>
      <c r="L15" s="11" t="n"/>
      <c r="M15" s="11" t="n"/>
      <c r="N15" s="11" t="n"/>
      <c r="O15" s="11" t="n"/>
      <c r="P15" s="11" t="n"/>
      <c r="Q15" s="11" t="n"/>
      <c r="R15" s="11" t="n"/>
      <c r="S15" s="11">
        <f>IF(COUNTIF(B15:H15,"در حال اجرا")&gt;0,IF(B15="در حال اجرا","شناسایی فعالان در حال انجام",IF(C15="در حال اجرا","رابط استانی در حال انجام",IF(D15="در حال اجرا","رابط شهرستانی در حال انجام",IF(E15="در حال اجرا","همایش استانی در حال انجام",IF(F15="در حال اجرا","توانمندسازی در حال انجام",IF(G15="در حال اجرا","اقدام و استمرار در حال انجام",IF(H15="در حال اجرا","ارزیابی و توسعه در حال انجام",""))))))),IF(COUNTIF(B15:H15,"انجام شد")=0,"هنوز اقدامی انجام نشده",IF(H15="انجام شد","ارزیابی و توسعه انجام شد",IF(G15="انجام شد","اقدام و استمرار انجام شد",IF(F15="انجام شد","توانمندسازی انجام شد",IF(E15="انجام شد","همایش استانی انجام شد",IF(D15="انجام شد","رابط شهرستانی انجام شد",IF(C15="انجام شد","رابط استانی انجام شد",IF(B15="انجام شد","شناسایی فعالان انجام شد","")))))))))</f>
        <v/>
      </c>
      <c r="T15" s="11">
        <f>IF(B15&lt;&gt;"انجام شد","شناسایی فعالان"&amp;IF(B15="در حال اجرا"," تکمیل شود"," آغاز شود"),IF(C15&lt;&gt;"انجام شد","رابط استانی"&amp;IF(C15="در حال اجرا"," تکمیل شود"," آغاز شود"),IF(D15&lt;&gt;"انجام شد","رابط شهرستانی"&amp;IF(D15="در حال اجرا"," تکمیل شود"," آغاز شود"),IF(E15&lt;&gt;"انجام شد","همایش استانی"&amp;IF(E15="در حال اجرا"," تکمیل شود"," آغاز شود"),IF(F15&lt;&gt;"انجام شد","توانمندسازی"&amp;IF(F15="در حال اجرا"," تکمیل شود"," آغاز شود"),IF(G15&lt;&gt;"انجام شد","اقدام و استمرار"&amp;IF(G15="در حال اجرا"," تکمیل شود"," آغاز شود"),IF(H15&lt;&gt;"انجام شد","ارزیابی و توسعه"&amp;IF(H15="در حال اجرا"," تکمیل شود"," آغاز شود"),"همه مراحل انجام شده است")))))))</f>
        <v/>
      </c>
      <c r="U15" s="11" t="n"/>
      <c r="V15" s="11" t="n"/>
      <c r="W15" s="11" t="n"/>
    </row>
    <row r="16">
      <c r="A16" s="11" t="inlineStr">
        <is>
          <t>سمنان</t>
        </is>
      </c>
      <c r="B16" s="11" t="inlineStr">
        <is>
          <t>انجام شد</t>
        </is>
      </c>
      <c r="C16" s="11" t="inlineStr">
        <is>
          <t>انجام نشده</t>
        </is>
      </c>
      <c r="D16" s="11" t="inlineStr">
        <is>
          <t>انجام نشده</t>
        </is>
      </c>
      <c r="E16" s="11" t="inlineStr">
        <is>
          <t>انجام نشده</t>
        </is>
      </c>
      <c r="F16" s="11" t="inlineStr">
        <is>
          <t>انجام نشده</t>
        </is>
      </c>
      <c r="G16" s="11" t="inlineStr">
        <is>
          <t>انجام نشده</t>
        </is>
      </c>
      <c r="H16" s="11" t="inlineStr">
        <is>
          <t>انجام نشده</t>
        </is>
      </c>
      <c r="I16" s="12">
        <f>COUNTIF(B16:H16,"انجام شد")/7+COUNTIF(B16:H16,"در حال اجرا")/14</f>
        <v/>
      </c>
      <c r="J16" s="11">
        <f>IF(I16=1,"تکمیل‌شده",IF(I16&gt;0,"در حال اجرا","شروع نشده"))</f>
        <v/>
      </c>
      <c r="K16" s="11" t="n"/>
      <c r="L16" s="11" t="n"/>
      <c r="M16" s="11" t="n"/>
      <c r="N16" s="11" t="n"/>
      <c r="O16" s="11" t="n"/>
      <c r="P16" s="11" t="n"/>
      <c r="Q16" s="11" t="n"/>
      <c r="R16" s="11" t="n"/>
      <c r="S16" s="11">
        <f>IF(COUNTIF(B16:H16,"در حال اجرا")&gt;0,IF(B16="در حال اجرا","شناسایی فعالان در حال انجام",IF(C16="در حال اجرا","رابط استانی در حال انجام",IF(D16="در حال اجرا","رابط شهرستانی در حال انجام",IF(E16="در حال اجرا","همایش استانی در حال انجام",IF(F16="در حال اجرا","توانمندسازی در حال انجام",IF(G16="در حال اجرا","اقدام و استمرار در حال انجام",IF(H16="در حال اجرا","ارزیابی و توسعه در حال انجام",""))))))),IF(COUNTIF(B16:H16,"انجام شد")=0,"هنوز اقدامی انجام نشده",IF(H16="انجام شد","ارزیابی و توسعه انجام شد",IF(G16="انجام شد","اقدام و استمرار انجام شد",IF(F16="انجام شد","توانمندسازی انجام شد",IF(E16="انجام شد","همایش استانی انجام شد",IF(D16="انجام شد","رابط شهرستانی انجام شد",IF(C16="انجام شد","رابط استانی انجام شد",IF(B16="انجام شد","شناسایی فعالان انجام شد","")))))))))</f>
        <v/>
      </c>
      <c r="T16" s="11">
        <f>IF(B16&lt;&gt;"انجام شد","شناسایی فعالان"&amp;IF(B16="در حال اجرا"," تکمیل شود"," آغاز شود"),IF(C16&lt;&gt;"انجام شد","رابط استانی"&amp;IF(C16="در حال اجرا"," تکمیل شود"," آغاز شود"),IF(D16&lt;&gt;"انجام شد","رابط شهرستانی"&amp;IF(D16="در حال اجرا"," تکمیل شود"," آغاز شود"),IF(E16&lt;&gt;"انجام شد","همایش استانی"&amp;IF(E16="در حال اجرا"," تکمیل شود"," آغاز شود"),IF(F16&lt;&gt;"انجام شد","توانمندسازی"&amp;IF(F16="در حال اجرا"," تکمیل شود"," آغاز شود"),IF(G16&lt;&gt;"انجام شد","اقدام و استمرار"&amp;IF(G16="در حال اجرا"," تکمیل شود"," آغاز شود"),IF(H16&lt;&gt;"انجام شد","ارزیابی و توسعه"&amp;IF(H16="در حال اجرا"," تکمیل شود"," آغاز شود"),"همه مراحل انجام شده است")))))))</f>
        <v/>
      </c>
      <c r="U16" s="11" t="n"/>
      <c r="V16" s="11" t="n"/>
      <c r="W16" s="11" t="n"/>
    </row>
    <row r="17">
      <c r="A17" s="11" t="inlineStr">
        <is>
          <t>سیستان و بلوچستان</t>
        </is>
      </c>
      <c r="B17" s="11" t="inlineStr">
        <is>
          <t>انجام شد</t>
        </is>
      </c>
      <c r="C17" s="11" t="inlineStr">
        <is>
          <t>انجام نشده</t>
        </is>
      </c>
      <c r="D17" s="11" t="inlineStr">
        <is>
          <t>انجام نشده</t>
        </is>
      </c>
      <c r="E17" s="11" t="inlineStr">
        <is>
          <t>انجام نشده</t>
        </is>
      </c>
      <c r="F17" s="11" t="inlineStr">
        <is>
          <t>انجام نشده</t>
        </is>
      </c>
      <c r="G17" s="11" t="inlineStr">
        <is>
          <t>انجام نشده</t>
        </is>
      </c>
      <c r="H17" s="11" t="inlineStr">
        <is>
          <t>انجام نشده</t>
        </is>
      </c>
      <c r="I17" s="12">
        <f>COUNTIF(B17:H17,"انجام شد")/7+COUNTIF(B17:H17,"در حال اجرا")/14</f>
        <v/>
      </c>
      <c r="J17" s="11">
        <f>IF(I17=1,"تکمیل‌شده",IF(I17&gt;0,"در حال اجرا","شروع نشده"))</f>
        <v/>
      </c>
      <c r="K17" s="11" t="n"/>
      <c r="L17" s="11" t="n"/>
      <c r="M17" s="11" t="n"/>
      <c r="N17" s="11" t="n"/>
      <c r="O17" s="11" t="n"/>
      <c r="P17" s="11" t="n"/>
      <c r="Q17" s="11" t="n"/>
      <c r="R17" s="11" t="n"/>
      <c r="S17" s="11">
        <f>IF(COUNTIF(B17:H17,"در حال اجرا")&gt;0,IF(B17="در حال اجرا","شناسایی فعالان در حال انجام",IF(C17="در حال اجرا","رابط استانی در حال انجام",IF(D17="در حال اجرا","رابط شهرستانی در حال انجام",IF(E17="در حال اجرا","همایش استانی در حال انجام",IF(F17="در حال اجرا","توانمندسازی در حال انجام",IF(G17="در حال اجرا","اقدام و استمرار در حال انجام",IF(H17="در حال اجرا","ارزیابی و توسعه در حال انجام",""))))))),IF(COUNTIF(B17:H17,"انجام شد")=0,"هنوز اقدامی انجام نشده",IF(H17="انجام شد","ارزیابی و توسعه انجام شد",IF(G17="انجام شد","اقدام و استمرار انجام شد",IF(F17="انجام شد","توانمندسازی انجام شد",IF(E17="انجام شد","همایش استانی انجام شد",IF(D17="انجام شد","رابط شهرستانی انجام شد",IF(C17="انجام شد","رابط استانی انجام شد",IF(B17="انجام شد","شناسایی فعالان انجام شد","")))))))))</f>
        <v/>
      </c>
      <c r="T17" s="11">
        <f>IF(B17&lt;&gt;"انجام شد","شناسایی فعالان"&amp;IF(B17="در حال اجرا"," تکمیل شود"," آغاز شود"),IF(C17&lt;&gt;"انجام شد","رابط استانی"&amp;IF(C17="در حال اجرا"," تکمیل شود"," آغاز شود"),IF(D17&lt;&gt;"انجام شد","رابط شهرستانی"&amp;IF(D17="در حال اجرا"," تکمیل شود"," آغاز شود"),IF(E17&lt;&gt;"انجام شد","همایش استانی"&amp;IF(E17="در حال اجرا"," تکمیل شود"," آغاز شود"),IF(F17&lt;&gt;"انجام شد","توانمندسازی"&amp;IF(F17="در حال اجرا"," تکمیل شود"," آغاز شود"),IF(G17&lt;&gt;"انجام شد","اقدام و استمرار"&amp;IF(G17="در حال اجرا"," تکمیل شود"," آغاز شود"),IF(H17&lt;&gt;"انجام شد","ارزیابی و توسعه"&amp;IF(H17="در حال اجرا"," تکمیل شود"," آغاز شود"),"همه مراحل انجام شده است")))))))</f>
        <v/>
      </c>
      <c r="U17" s="11" t="n"/>
      <c r="V17" s="11" t="n"/>
      <c r="W17" s="11" t="n"/>
    </row>
    <row r="18">
      <c r="A18" s="11" t="inlineStr">
        <is>
          <t>فارس</t>
        </is>
      </c>
      <c r="B18" s="11" t="inlineStr">
        <is>
          <t>انجام شد</t>
        </is>
      </c>
      <c r="C18" s="11" t="inlineStr">
        <is>
          <t>انجام نشده</t>
        </is>
      </c>
      <c r="D18" s="11" t="inlineStr">
        <is>
          <t>انجام نشده</t>
        </is>
      </c>
      <c r="E18" s="11" t="inlineStr">
        <is>
          <t>انجام نشده</t>
        </is>
      </c>
      <c r="F18" s="11" t="inlineStr">
        <is>
          <t>انجام نشده</t>
        </is>
      </c>
      <c r="G18" s="11" t="inlineStr">
        <is>
          <t>انجام نشده</t>
        </is>
      </c>
      <c r="H18" s="11" t="inlineStr">
        <is>
          <t>انجام نشده</t>
        </is>
      </c>
      <c r="I18" s="12">
        <f>COUNTIF(B18:H18,"انجام شد")/7+COUNTIF(B18:H18,"در حال اجرا")/14</f>
        <v/>
      </c>
      <c r="J18" s="11">
        <f>IF(I18=1,"تکمیل‌شده",IF(I18&gt;0,"در حال اجرا","شروع نشده"))</f>
        <v/>
      </c>
      <c r="K18" s="11" t="n"/>
      <c r="L18" s="11" t="n"/>
      <c r="M18" s="11" t="n"/>
      <c r="N18" s="11" t="n"/>
      <c r="O18" s="11" t="n"/>
      <c r="P18" s="11" t="n"/>
      <c r="Q18" s="11" t="n"/>
      <c r="R18" s="11" t="n"/>
      <c r="S18" s="11">
        <f>IF(COUNTIF(B18:H18,"در حال اجرا")&gt;0,IF(B18="در حال اجرا","شناسایی فعالان در حال انجام",IF(C18="در حال اجرا","رابط استانی در حال انجام",IF(D18="در حال اجرا","رابط شهرستانی در حال انجام",IF(E18="در حال اجرا","همایش استانی در حال انجام",IF(F18="در حال اجرا","توانمندسازی در حال انجام",IF(G18="در حال اجرا","اقدام و استمرار در حال انجام",IF(H18="در حال اجرا","ارزیابی و توسعه در حال انجام",""))))))),IF(COUNTIF(B18:H18,"انجام شد")=0,"هنوز اقدامی انجام نشده",IF(H18="انجام شد","ارزیابی و توسعه انجام شد",IF(G18="انجام شد","اقدام و استمرار انجام شد",IF(F18="انجام شد","توانمندسازی انجام شد",IF(E18="انجام شد","همایش استانی انجام شد",IF(D18="انجام شد","رابط شهرستانی انجام شد",IF(C18="انجام شد","رابط استانی انجام شد",IF(B18="انجام شد","شناسایی فعالان انجام شد","")))))))))</f>
        <v/>
      </c>
      <c r="T18" s="11">
        <f>IF(B18&lt;&gt;"انجام شد","شناسایی فعالان"&amp;IF(B18="در حال اجرا"," تکمیل شود"," آغاز شود"),IF(C18&lt;&gt;"انجام شد","رابط استانی"&amp;IF(C18="در حال اجرا"," تکمیل شود"," آغاز شود"),IF(D18&lt;&gt;"انجام شد","رابط شهرستانی"&amp;IF(D18="در حال اجرا"," تکمیل شود"," آغاز شود"),IF(E18&lt;&gt;"انجام شد","همایش استانی"&amp;IF(E18="در حال اجرا"," تکمیل شود"," آغاز شود"),IF(F18&lt;&gt;"انجام شد","توانمندسازی"&amp;IF(F18="در حال اجرا"," تکمیل شود"," آغاز شود"),IF(G18&lt;&gt;"انجام شد","اقدام و استمرار"&amp;IF(G18="در حال اجرا"," تکمیل شود"," آغاز شود"),IF(H18&lt;&gt;"انجام شد","ارزیابی و توسعه"&amp;IF(H18="در حال اجرا"," تکمیل شود"," آغاز شود"),"همه مراحل انجام شده است")))))))</f>
        <v/>
      </c>
      <c r="U18" s="11" t="n"/>
      <c r="V18" s="11" t="n"/>
      <c r="W18" s="11" t="n"/>
    </row>
    <row r="19">
      <c r="A19" s="11" t="inlineStr">
        <is>
          <t>قزوین</t>
        </is>
      </c>
      <c r="B19" s="11" t="inlineStr">
        <is>
          <t>انجام شد</t>
        </is>
      </c>
      <c r="C19" s="11" t="inlineStr">
        <is>
          <t>انجام نشده</t>
        </is>
      </c>
      <c r="D19" s="11" t="inlineStr">
        <is>
          <t>انجام نشده</t>
        </is>
      </c>
      <c r="E19" s="11" t="inlineStr">
        <is>
          <t>انجام نشده</t>
        </is>
      </c>
      <c r="F19" s="11" t="inlineStr">
        <is>
          <t>انجام نشده</t>
        </is>
      </c>
      <c r="G19" s="11" t="inlineStr">
        <is>
          <t>انجام نشده</t>
        </is>
      </c>
      <c r="H19" s="11" t="inlineStr">
        <is>
          <t>انجام نشده</t>
        </is>
      </c>
      <c r="I19" s="12">
        <f>COUNTIF(B19:H19,"انجام شد")/7+COUNTIF(B19:H19,"در حال اجرا")/14</f>
        <v/>
      </c>
      <c r="J19" s="11">
        <f>IF(I19=1,"تکمیل‌شده",IF(I19&gt;0,"در حال اجرا","شروع نشده"))</f>
        <v/>
      </c>
      <c r="K19" s="11" t="n"/>
      <c r="L19" s="11" t="n"/>
      <c r="M19" s="11" t="n"/>
      <c r="N19" s="11" t="n"/>
      <c r="O19" s="11" t="n"/>
      <c r="P19" s="11" t="n"/>
      <c r="Q19" s="11" t="n"/>
      <c r="R19" s="11" t="n"/>
      <c r="S19" s="11">
        <f>IF(COUNTIF(B19:H19,"در حال اجرا")&gt;0,IF(B19="در حال اجرا","شناسایی فعالان در حال انجام",IF(C19="در حال اجرا","رابط استانی در حال انجام",IF(D19="در حال اجرا","رابط شهرستانی در حال انجام",IF(E19="در حال اجرا","همایش استانی در حال انجام",IF(F19="در حال اجرا","توانمندسازی در حال انجام",IF(G19="در حال اجرا","اقدام و استمرار در حال انجام",IF(H19="در حال اجرا","ارزیابی و توسعه در حال انجام",""))))))),IF(COUNTIF(B19:H19,"انجام شد")=0,"هنوز اقدامی انجام نشده",IF(H19="انجام شد","ارزیابی و توسعه انجام شد",IF(G19="انجام شد","اقدام و استمرار انجام شد",IF(F19="انجام شد","توانمندسازی انجام شد",IF(E19="انجام شد","همایش استانی انجام شد",IF(D19="انجام شد","رابط شهرستانی انجام شد",IF(C19="انجام شد","رابط استانی انجام شد",IF(B19="انجام شد","شناسایی فعالان انجام شد","")))))))))</f>
        <v/>
      </c>
      <c r="T19" s="11">
        <f>IF(B19&lt;&gt;"انجام شد","شناسایی فعالان"&amp;IF(B19="در حال اجرا"," تکمیل شود"," آغاز شود"),IF(C19&lt;&gt;"انجام شد","رابط استانی"&amp;IF(C19="در حال اجرا"," تکمیل شود"," آغاز شود"),IF(D19&lt;&gt;"انجام شد","رابط شهرستانی"&amp;IF(D19="در حال اجرا"," تکمیل شود"," آغاز شود"),IF(E19&lt;&gt;"انجام شد","همایش استانی"&amp;IF(E19="در حال اجرا"," تکمیل شود"," آغاز شود"),IF(F19&lt;&gt;"انجام شد","توانمندسازی"&amp;IF(F19="در حال اجرا"," تکمیل شود"," آغاز شود"),IF(G19&lt;&gt;"انجام شد","اقدام و استمرار"&amp;IF(G19="در حال اجرا"," تکمیل شود"," آغاز شود"),IF(H19&lt;&gt;"انجام شد","ارزیابی و توسعه"&amp;IF(H19="در حال اجرا"," تکمیل شود"," آغاز شود"),"همه مراحل انجام شده است")))))))</f>
        <v/>
      </c>
      <c r="U19" s="11" t="n"/>
      <c r="V19" s="11" t="n"/>
      <c r="W19" s="11" t="n"/>
    </row>
    <row r="20">
      <c r="A20" s="11" t="inlineStr">
        <is>
          <t>قم</t>
        </is>
      </c>
      <c r="B20" s="11" t="inlineStr">
        <is>
          <t>انجام شد</t>
        </is>
      </c>
      <c r="C20" s="11" t="inlineStr">
        <is>
          <t>انجام نشده</t>
        </is>
      </c>
      <c r="D20" s="11" t="inlineStr">
        <is>
          <t>انجام نشده</t>
        </is>
      </c>
      <c r="E20" s="11" t="inlineStr">
        <is>
          <t>انجام نشده</t>
        </is>
      </c>
      <c r="F20" s="11" t="inlineStr">
        <is>
          <t>انجام نشده</t>
        </is>
      </c>
      <c r="G20" s="11" t="inlineStr">
        <is>
          <t>انجام نشده</t>
        </is>
      </c>
      <c r="H20" s="11" t="inlineStr">
        <is>
          <t>انجام نشده</t>
        </is>
      </c>
      <c r="I20" s="12">
        <f>COUNTIF(B20:H20,"انجام شد")/7+COUNTIF(B20:H20,"در حال اجرا")/14</f>
        <v/>
      </c>
      <c r="J20" s="11">
        <f>IF(I20=1,"تکمیل‌شده",IF(I20&gt;0,"در حال اجرا","شروع نشده"))</f>
        <v/>
      </c>
      <c r="K20" s="11" t="n"/>
      <c r="L20" s="11" t="n"/>
      <c r="M20" s="11" t="n"/>
      <c r="N20" s="11" t="n"/>
      <c r="O20" s="11" t="n"/>
      <c r="P20" s="11" t="n"/>
      <c r="Q20" s="11" t="n"/>
      <c r="R20" s="11" t="n"/>
      <c r="S20" s="11">
        <f>IF(COUNTIF(B20:H20,"در حال اجرا")&gt;0,IF(B20="در حال اجرا","شناسایی فعالان در حال انجام",IF(C20="در حال اجرا","رابط استانی در حال انجام",IF(D20="در حال اجرا","رابط شهرستانی در حال انجام",IF(E20="در حال اجرا","همایش استانی در حال انجام",IF(F20="در حال اجرا","توانمندسازی در حال انجام",IF(G20="در حال اجرا","اقدام و استمرار در حال انجام",IF(H20="در حال اجرا","ارزیابی و توسعه در حال انجام",""))))))),IF(COUNTIF(B20:H20,"انجام شد")=0,"هنوز اقدامی انجام نشده",IF(H20="انجام شد","ارزیابی و توسعه انجام شد",IF(G20="انجام شد","اقدام و استمرار انجام شد",IF(F20="انجام شد","توانمندسازی انجام شد",IF(E20="انجام شد","همایش استانی انجام شد",IF(D20="انجام شد","رابط شهرستانی انجام شد",IF(C20="انجام شد","رابط استانی انجام شد",IF(B20="انجام شد","شناسایی فعالان انجام شد","")))))))))</f>
        <v/>
      </c>
      <c r="T20" s="11">
        <f>IF(B20&lt;&gt;"انجام شد","شناسایی فعالان"&amp;IF(B20="در حال اجرا"," تکمیل شود"," آغاز شود"),IF(C20&lt;&gt;"انجام شد","رابط استانی"&amp;IF(C20="در حال اجرا"," تکمیل شود"," آغاز شود"),IF(D20&lt;&gt;"انجام شد","رابط شهرستانی"&amp;IF(D20="در حال اجرا"," تکمیل شود"," آغاز شود"),IF(E20&lt;&gt;"انجام شد","همایش استانی"&amp;IF(E20="در حال اجرا"," تکمیل شود"," آغاز شود"),IF(F20&lt;&gt;"انجام شد","توانمندسازی"&amp;IF(F20="در حال اجرا"," تکمیل شود"," آغاز شود"),IF(G20&lt;&gt;"انجام شد","اقدام و استمرار"&amp;IF(G20="در حال اجرا"," تکمیل شود"," آغاز شود"),IF(H20&lt;&gt;"انجام شد","ارزیابی و توسعه"&amp;IF(H20="در حال اجرا"," تکمیل شود"," آغاز شود"),"همه مراحل انجام شده است")))))))</f>
        <v/>
      </c>
      <c r="U20" s="11" t="n"/>
      <c r="V20" s="11" t="n"/>
      <c r="W20" s="11" t="n"/>
    </row>
    <row r="21">
      <c r="A21" s="11" t="inlineStr">
        <is>
          <t>کردستان</t>
        </is>
      </c>
      <c r="B21" s="11" t="inlineStr">
        <is>
          <t>انجام شد</t>
        </is>
      </c>
      <c r="C21" s="11" t="inlineStr">
        <is>
          <t>انجام شد</t>
        </is>
      </c>
      <c r="D21" s="11" t="inlineStr">
        <is>
          <t>انجام نشده</t>
        </is>
      </c>
      <c r="E21" s="11" t="inlineStr">
        <is>
          <t>انجام نشده</t>
        </is>
      </c>
      <c r="F21" s="11" t="inlineStr">
        <is>
          <t>انجام نشده</t>
        </is>
      </c>
      <c r="G21" s="11" t="inlineStr">
        <is>
          <t>انجام نشده</t>
        </is>
      </c>
      <c r="H21" s="11" t="inlineStr">
        <is>
          <t>انجام نشده</t>
        </is>
      </c>
      <c r="I21" s="12">
        <f>COUNTIF(B21:H21,"انجام شد")/7+COUNTIF(B21:H21,"در حال اجرا")/14</f>
        <v/>
      </c>
      <c r="J21" s="11">
        <f>IF(I21=1,"تکمیل‌شده",IF(I21&gt;0,"در حال اجرا","شروع نشده"))</f>
        <v/>
      </c>
      <c r="K21" s="11" t="n"/>
      <c r="L21" s="11" t="n"/>
      <c r="M21" s="11" t="n"/>
      <c r="N21" s="11" t="n"/>
      <c r="O21" s="11" t="n"/>
      <c r="P21" s="11" t="n"/>
      <c r="Q21" s="11" t="n"/>
      <c r="R21" s="11" t="n"/>
      <c r="S21" s="11">
        <f>IF(COUNTIF(B21:H21,"در حال اجرا")&gt;0,IF(B21="در حال اجرا","شناسایی فعالان در حال انجام",IF(C21="در حال اجرا","رابط استانی در حال انجام",IF(D21="در حال اجرا","رابط شهرستانی در حال انجام",IF(E21="در حال اجرا","همایش استانی در حال انجام",IF(F21="در حال اجرا","توانمندسازی در حال انجام",IF(G21="در حال اجرا","اقدام و استمرار در حال انجام",IF(H21="در حال اجرا","ارزیابی و توسعه در حال انجام",""))))))),IF(COUNTIF(B21:H21,"انجام شد")=0,"هنوز اقدامی انجام نشده",IF(H21="انجام شد","ارزیابی و توسعه انجام شد",IF(G21="انجام شد","اقدام و استمرار انجام شد",IF(F21="انجام شد","توانمندسازی انجام شد",IF(E21="انجام شد","همایش استانی انجام شد",IF(D21="انجام شد","رابط شهرستانی انجام شد",IF(C21="انجام شد","رابط استانی انجام شد",IF(B21="انجام شد","شناسایی فعالان انجام شد","")))))))))</f>
        <v/>
      </c>
      <c r="T21" s="11">
        <f>IF(B21&lt;&gt;"انجام شد","شناسایی فعالان"&amp;IF(B21="در حال اجرا"," تکمیل شود"," آغاز شود"),IF(C21&lt;&gt;"انجام شد","رابط استانی"&amp;IF(C21="در حال اجرا"," تکمیل شود"," آغاز شود"),IF(D21&lt;&gt;"انجام شد","رابط شهرستانی"&amp;IF(D21="در حال اجرا"," تکمیل شود"," آغاز شود"),IF(E21&lt;&gt;"انجام شد","همایش استانی"&amp;IF(E21="در حال اجرا"," تکمیل شود"," آغاز شود"),IF(F21&lt;&gt;"انجام شد","توانمندسازی"&amp;IF(F21="در حال اجرا"," تکمیل شود"," آغاز شود"),IF(G21&lt;&gt;"انجام شد","اقدام و استمرار"&amp;IF(G21="در حال اجرا"," تکمیل شود"," آغاز شود"),IF(H21&lt;&gt;"انجام شد","ارزیابی و توسعه"&amp;IF(H21="در حال اجرا"," تکمیل شود"," آغاز شود"),"همه مراحل انجام شده است")))))))</f>
        <v/>
      </c>
      <c r="U21" s="11" t="n"/>
      <c r="V21" s="11" t="n"/>
      <c r="W21" s="11" t="n"/>
    </row>
    <row r="22">
      <c r="A22" s="11" t="inlineStr">
        <is>
          <t>کرمان</t>
        </is>
      </c>
      <c r="B22" s="11" t="inlineStr">
        <is>
          <t>انجام شد</t>
        </is>
      </c>
      <c r="C22" s="11" t="inlineStr">
        <is>
          <t>انجام نشده</t>
        </is>
      </c>
      <c r="D22" s="11" t="inlineStr">
        <is>
          <t>انجام نشده</t>
        </is>
      </c>
      <c r="E22" s="11" t="inlineStr">
        <is>
          <t>انجام نشده</t>
        </is>
      </c>
      <c r="F22" s="11" t="inlineStr">
        <is>
          <t>انجام نشده</t>
        </is>
      </c>
      <c r="G22" s="11" t="inlineStr">
        <is>
          <t>انجام نشده</t>
        </is>
      </c>
      <c r="H22" s="11" t="inlineStr">
        <is>
          <t>انجام نشده</t>
        </is>
      </c>
      <c r="I22" s="12">
        <f>COUNTIF(B22:H22,"انجام شد")/7+COUNTIF(B22:H22,"در حال اجرا")/14</f>
        <v/>
      </c>
      <c r="J22" s="11">
        <f>IF(I22=1,"تکمیل‌شده",IF(I22&gt;0,"در حال اجرا","شروع نشده"))</f>
        <v/>
      </c>
      <c r="K22" s="11" t="n"/>
      <c r="L22" s="11" t="n"/>
      <c r="M22" s="11" t="n"/>
      <c r="N22" s="11" t="n"/>
      <c r="O22" s="11" t="n"/>
      <c r="P22" s="11" t="n"/>
      <c r="Q22" s="11" t="n"/>
      <c r="R22" s="11" t="n"/>
      <c r="S22" s="11">
        <f>IF(COUNTIF(B22:H22,"در حال اجرا")&gt;0,IF(B22="در حال اجرا","شناسایی فعالان در حال انجام",IF(C22="در حال اجرا","رابط استانی در حال انجام",IF(D22="در حال اجرا","رابط شهرستانی در حال انجام",IF(E22="در حال اجرا","همایش استانی در حال انجام",IF(F22="در حال اجرا","توانمندسازی در حال انجام",IF(G22="در حال اجرا","اقدام و استمرار در حال انجام",IF(H22="در حال اجرا","ارزیابی و توسعه در حال انجام",""))))))),IF(COUNTIF(B22:H22,"انجام شد")=0,"هنوز اقدامی انجام نشده",IF(H22="انجام شد","ارزیابی و توسعه انجام شد",IF(G22="انجام شد","اقدام و استمرار انجام شد",IF(F22="انجام شد","توانمندسازی انجام شد",IF(E22="انجام شد","همایش استانی انجام شد",IF(D22="انجام شد","رابط شهرستانی انجام شد",IF(C22="انجام شد","رابط استانی انجام شد",IF(B22="انجام شد","شناسایی فعالان انجام شد","")))))))))</f>
        <v/>
      </c>
      <c r="T22" s="11">
        <f>IF(B22&lt;&gt;"انجام شد","شناسایی فعالان"&amp;IF(B22="در حال اجرا"," تکمیل شود"," آغاز شود"),IF(C22&lt;&gt;"انجام شد","رابط استانی"&amp;IF(C22="در حال اجرا"," تکمیل شود"," آغاز شود"),IF(D22&lt;&gt;"انجام شد","رابط شهرستانی"&amp;IF(D22="در حال اجرا"," تکمیل شود"," آغاز شود"),IF(E22&lt;&gt;"انجام شد","همایش استانی"&amp;IF(E22="در حال اجرا"," تکمیل شود"," آغاز شود"),IF(F22&lt;&gt;"انجام شد","توانمندسازی"&amp;IF(F22="در حال اجرا"," تکمیل شود"," آغاز شود"),IF(G22&lt;&gt;"انجام شد","اقدام و استمرار"&amp;IF(G22="در حال اجرا"," تکمیل شود"," آغاز شود"),IF(H22&lt;&gt;"انجام شد","ارزیابی و توسعه"&amp;IF(H22="در حال اجرا"," تکمیل شود"," آغاز شود"),"همه مراحل انجام شده است")))))))</f>
        <v/>
      </c>
      <c r="U22" s="11" t="n"/>
      <c r="V22" s="11" t="n"/>
      <c r="W22" s="11" t="n"/>
    </row>
    <row r="23">
      <c r="A23" s="11" t="inlineStr">
        <is>
          <t>کرمانشاه</t>
        </is>
      </c>
      <c r="B23" s="11" t="inlineStr">
        <is>
          <t>انجام شد</t>
        </is>
      </c>
      <c r="C23" s="11" t="inlineStr">
        <is>
          <t>انجام نشده</t>
        </is>
      </c>
      <c r="D23" s="11" t="inlineStr">
        <is>
          <t>انجام نشده</t>
        </is>
      </c>
      <c r="E23" s="11" t="inlineStr">
        <is>
          <t>انجام نشده</t>
        </is>
      </c>
      <c r="F23" s="11" t="inlineStr">
        <is>
          <t>انجام نشده</t>
        </is>
      </c>
      <c r="G23" s="11" t="inlineStr">
        <is>
          <t>انجام نشده</t>
        </is>
      </c>
      <c r="H23" s="11" t="inlineStr">
        <is>
          <t>انجام نشده</t>
        </is>
      </c>
      <c r="I23" s="12">
        <f>COUNTIF(B23:H23,"انجام شد")/7+COUNTIF(B23:H23,"در حال اجرا")/14</f>
        <v/>
      </c>
      <c r="J23" s="11">
        <f>IF(I23=1,"تکمیل‌شده",IF(I23&gt;0,"در حال اجرا","شروع نشده"))</f>
        <v/>
      </c>
      <c r="K23" s="11" t="n"/>
      <c r="L23" s="11" t="n"/>
      <c r="M23" s="11" t="n"/>
      <c r="N23" s="11" t="n"/>
      <c r="O23" s="11" t="n"/>
      <c r="P23" s="11" t="n"/>
      <c r="Q23" s="11" t="n"/>
      <c r="R23" s="11" t="n"/>
      <c r="S23" s="11">
        <f>IF(COUNTIF(B23:H23,"در حال اجرا")&gt;0,IF(B23="در حال اجرا","شناسایی فعالان در حال انجام",IF(C23="در حال اجرا","رابط استانی در حال انجام",IF(D23="در حال اجرا","رابط شهرستانی در حال انجام",IF(E23="در حال اجرا","همایش استانی در حال انجام",IF(F23="در حال اجرا","توانمندسازی در حال انجام",IF(G23="در حال اجرا","اقدام و استمرار در حال انجام",IF(H23="در حال اجرا","ارزیابی و توسعه در حال انجام",""))))))),IF(COUNTIF(B23:H23,"انجام شد")=0,"هنوز اقدامی انجام نشده",IF(H23="انجام شد","ارزیابی و توسعه انجام شد",IF(G23="انجام شد","اقدام و استمرار انجام شد",IF(F23="انجام شد","توانمندسازی انجام شد",IF(E23="انجام شد","همایش استانی انجام شد",IF(D23="انجام شد","رابط شهرستانی انجام شد",IF(C23="انجام شد","رابط استانی انجام شد",IF(B23="انجام شد","شناسایی فعالان انجام شد","")))))))))</f>
        <v/>
      </c>
      <c r="T23" s="11">
        <f>IF(B23&lt;&gt;"انجام شد","شناسایی فعالان"&amp;IF(B23="در حال اجرا"," تکمیل شود"," آغاز شود"),IF(C23&lt;&gt;"انجام شد","رابط استانی"&amp;IF(C23="در حال اجرا"," تکمیل شود"," آغاز شود"),IF(D23&lt;&gt;"انجام شد","رابط شهرستانی"&amp;IF(D23="در حال اجرا"," تکمیل شود"," آغاز شود"),IF(E23&lt;&gt;"انجام شد","همایش استانی"&amp;IF(E23="در حال اجرا"," تکمیل شود"," آغاز شود"),IF(F23&lt;&gt;"انجام شد","توانمندسازی"&amp;IF(F23="در حال اجرا"," تکمیل شود"," آغاز شود"),IF(G23&lt;&gt;"انجام شد","اقدام و استمرار"&amp;IF(G23="در حال اجرا"," تکمیل شود"," آغاز شود"),IF(H23&lt;&gt;"انجام شد","ارزیابی و توسعه"&amp;IF(H23="در حال اجرا"," تکمیل شود"," آغاز شود"),"همه مراحل انجام شده است")))))))</f>
        <v/>
      </c>
      <c r="U23" s="11" t="n"/>
      <c r="V23" s="11" t="n"/>
      <c r="W23" s="11" t="n"/>
    </row>
    <row r="24">
      <c r="A24" s="11" t="inlineStr">
        <is>
          <t>کهگیلویه و بویراحمد</t>
        </is>
      </c>
      <c r="B24" s="11" t="inlineStr">
        <is>
          <t>انجام شد</t>
        </is>
      </c>
      <c r="C24" s="11" t="inlineStr">
        <is>
          <t>انجام شد</t>
        </is>
      </c>
      <c r="D24" s="11" t="inlineStr">
        <is>
          <t>انجام شد</t>
        </is>
      </c>
      <c r="E24" s="11" t="inlineStr">
        <is>
          <t>انجام نشده</t>
        </is>
      </c>
      <c r="F24" s="11" t="inlineStr">
        <is>
          <t>انجام نشده</t>
        </is>
      </c>
      <c r="G24" s="11" t="inlineStr">
        <is>
          <t>انجام نشده</t>
        </is>
      </c>
      <c r="H24" s="11" t="inlineStr">
        <is>
          <t>انجام نشده</t>
        </is>
      </c>
      <c r="I24" s="12">
        <f>COUNTIF(B24:H24,"انجام شد")/7+COUNTIF(B24:H24,"در حال اجرا")/14</f>
        <v/>
      </c>
      <c r="J24" s="11">
        <f>IF(I24=1,"تکمیل‌شده",IF(I24&gt;0,"در حال اجرا","شروع نشده"))</f>
        <v/>
      </c>
      <c r="K24" s="11" t="n"/>
      <c r="L24" s="11" t="n"/>
      <c r="M24" s="11" t="n"/>
      <c r="N24" s="11" t="n"/>
      <c r="O24" s="11" t="n"/>
      <c r="P24" s="11" t="n"/>
      <c r="Q24" s="11" t="n"/>
      <c r="R24" s="11" t="n"/>
      <c r="S24" s="11">
        <f>IF(COUNTIF(B24:H24,"در حال اجرا")&gt;0,IF(B24="در حال اجرا","شناسایی فعالان در حال انجام",IF(C24="در حال اجرا","رابط استانی در حال انجام",IF(D24="در حال اجرا","رابط شهرستانی در حال انجام",IF(E24="در حال اجرا","همایش استانی در حال انجام",IF(F24="در حال اجرا","توانمندسازی در حال انجام",IF(G24="در حال اجرا","اقدام و استمرار در حال انجام",IF(H24="در حال اجرا","ارزیابی و توسعه در حال انجام",""))))))),IF(COUNTIF(B24:H24,"انجام شد")=0,"هنوز اقدامی انجام نشده",IF(H24="انجام شد","ارزیابی و توسعه انجام شد",IF(G24="انجام شد","اقدام و استمرار انجام شد",IF(F24="انجام شد","توانمندسازی انجام شد",IF(E24="انجام شد","همایش استانی انجام شد",IF(D24="انجام شد","رابط شهرستانی انجام شد",IF(C24="انجام شد","رابط استانی انجام شد",IF(B24="انجام شد","شناسایی فعالان انجام شد","")))))))))</f>
        <v/>
      </c>
      <c r="T24" s="11">
        <f>IF(B24&lt;&gt;"انجام شد","شناسایی فعالان"&amp;IF(B24="در حال اجرا"," تکمیل شود"," آغاز شود"),IF(C24&lt;&gt;"انجام شد","رابط استانی"&amp;IF(C24="در حال اجرا"," تکمیل شود"," آغاز شود"),IF(D24&lt;&gt;"انجام شد","رابط شهرستانی"&amp;IF(D24="در حال اجرا"," تکمیل شود"," آغاز شود"),IF(E24&lt;&gt;"انجام شد","همایش استانی"&amp;IF(E24="در حال اجرا"," تکمیل شود"," آغاز شود"),IF(F24&lt;&gt;"انجام شد","توانمندسازی"&amp;IF(F24="در حال اجرا"," تکمیل شود"," آغاز شود"),IF(G24&lt;&gt;"انجام شد","اقدام و استمرار"&amp;IF(G24="در حال اجرا"," تکمیل شود"," آغاز شود"),IF(H24&lt;&gt;"انجام شد","ارزیابی و توسعه"&amp;IF(H24="در حال اجرا"," تکمیل شود"," آغاز شود"),"همه مراحل انجام شده است")))))))</f>
        <v/>
      </c>
      <c r="U24" s="11" t="n"/>
      <c r="V24" s="11" t="n"/>
      <c r="W24" s="11" t="n"/>
    </row>
    <row r="25">
      <c r="A25" s="11" t="inlineStr">
        <is>
          <t>گلستان</t>
        </is>
      </c>
      <c r="B25" s="11" t="inlineStr">
        <is>
          <t>انجام شد</t>
        </is>
      </c>
      <c r="C25" s="11" t="inlineStr">
        <is>
          <t>در حال اجرا</t>
        </is>
      </c>
      <c r="D25" s="11" t="inlineStr">
        <is>
          <t>انجام نشده</t>
        </is>
      </c>
      <c r="E25" s="11" t="inlineStr">
        <is>
          <t>انجام نشده</t>
        </is>
      </c>
      <c r="F25" s="11" t="inlineStr">
        <is>
          <t>انجام نشده</t>
        </is>
      </c>
      <c r="G25" s="11" t="inlineStr">
        <is>
          <t>انجام نشده</t>
        </is>
      </c>
      <c r="H25" s="11" t="inlineStr">
        <is>
          <t>انجام نشده</t>
        </is>
      </c>
      <c r="I25" s="12">
        <f>COUNTIF(B25:H25,"انجام شد")/7+COUNTIF(B25:H25,"در حال اجرا")/14</f>
        <v/>
      </c>
      <c r="J25" s="11">
        <f>IF(I25=1,"تکمیل‌شده",IF(I25&gt;0,"در حال اجرا","شروع نشده"))</f>
        <v/>
      </c>
      <c r="K25" s="11" t="n"/>
      <c r="L25" s="11" t="n"/>
      <c r="M25" s="11" t="n"/>
      <c r="N25" s="11" t="n"/>
      <c r="O25" s="11" t="n"/>
      <c r="P25" s="11" t="n"/>
      <c r="Q25" s="11" t="n"/>
      <c r="R25" s="11" t="n"/>
      <c r="S25" s="11">
        <f>IF(COUNTIF(B25:H25,"در حال اجرا")&gt;0,IF(B25="در حال اجرا","شناسایی فعالان در حال انجام",IF(C25="در حال اجرا","رابط استانی در حال انجام",IF(D25="در حال اجرا","رابط شهرستانی در حال انجام",IF(E25="در حال اجرا","همایش استانی در حال انجام",IF(F25="در حال اجرا","توانمندسازی در حال انجام",IF(G25="در حال اجرا","اقدام و استمرار در حال انجام",IF(H25="در حال اجرا","ارزیابی و توسعه در حال انجام",""))))))),IF(COUNTIF(B25:H25,"انجام شد")=0,"هنوز اقدامی انجام نشده",IF(H25="انجام شد","ارزیابی و توسعه انجام شد",IF(G25="انجام شد","اقدام و استمرار انجام شد",IF(F25="انجام شد","توانمندسازی انجام شد",IF(E25="انجام شد","همایش استانی انجام شد",IF(D25="انجام شد","رابط شهرستانی انجام شد",IF(C25="انجام شد","رابط استانی انجام شد",IF(B25="انجام شد","شناسایی فعالان انجام شد","")))))))))</f>
        <v/>
      </c>
      <c r="T25" s="11">
        <f>IF(B25&lt;&gt;"انجام شد","شناسایی فعالان"&amp;IF(B25="در حال اجرا"," تکمیل شود"," آغاز شود"),IF(C25&lt;&gt;"انجام شد","رابط استانی"&amp;IF(C25="در حال اجرا"," تکمیل شود"," آغاز شود"),IF(D25&lt;&gt;"انجام شد","رابط شهرستانی"&amp;IF(D25="در حال اجرا"," تکمیل شود"," آغاز شود"),IF(E25&lt;&gt;"انجام شد","همایش استانی"&amp;IF(E25="در حال اجرا"," تکمیل شود"," آغاز شود"),IF(F25&lt;&gt;"انجام شد","توانمندسازی"&amp;IF(F25="در حال اجرا"," تکمیل شود"," آغاز شود"),IF(G25&lt;&gt;"انجام شد","اقدام و استمرار"&amp;IF(G25="در حال اجرا"," تکمیل شود"," آغاز شود"),IF(H25&lt;&gt;"انجام شد","ارزیابی و توسعه"&amp;IF(H25="در حال اجرا"," تکمیل شود"," آغاز شود"),"همه مراحل انجام شده است")))))))</f>
        <v/>
      </c>
      <c r="U25" s="11" t="n"/>
      <c r="V25" s="11" t="n"/>
      <c r="W25" s="11" t="n"/>
    </row>
    <row r="26">
      <c r="A26" s="11" t="inlineStr">
        <is>
          <t>گیلان</t>
        </is>
      </c>
      <c r="B26" s="11" t="inlineStr">
        <is>
          <t>انجام شد</t>
        </is>
      </c>
      <c r="C26" s="11" t="inlineStr">
        <is>
          <t>در حال اجرا</t>
        </is>
      </c>
      <c r="D26" s="11" t="inlineStr">
        <is>
          <t>انجام نشده</t>
        </is>
      </c>
      <c r="E26" s="11" t="inlineStr">
        <is>
          <t>انجام نشده</t>
        </is>
      </c>
      <c r="F26" s="11" t="inlineStr">
        <is>
          <t>انجام نشده</t>
        </is>
      </c>
      <c r="G26" s="11" t="inlineStr">
        <is>
          <t>انجام نشده</t>
        </is>
      </c>
      <c r="H26" s="11" t="inlineStr">
        <is>
          <t>انجام نشده</t>
        </is>
      </c>
      <c r="I26" s="12">
        <f>COUNTIF(B26:H26,"انجام شد")/7+COUNTIF(B26:H26,"در حال اجرا")/14</f>
        <v/>
      </c>
      <c r="J26" s="11">
        <f>IF(I26=1,"تکمیل‌شده",IF(I26&gt;0,"در حال اجرا","شروع نشده"))</f>
        <v/>
      </c>
      <c r="K26" s="11" t="n"/>
      <c r="L26" s="11" t="n"/>
      <c r="M26" s="11" t="n"/>
      <c r="N26" s="11" t="n"/>
      <c r="O26" s="11" t="n"/>
      <c r="P26" s="11" t="n"/>
      <c r="Q26" s="11" t="n"/>
      <c r="R26" s="11" t="n"/>
      <c r="S26" s="11">
        <f>IF(COUNTIF(B26:H26,"در حال اجرا")&gt;0,IF(B26="در حال اجرا","شناسایی فعالان در حال انجام",IF(C26="در حال اجرا","رابط استانی در حال انجام",IF(D26="در حال اجرا","رابط شهرستانی در حال انجام",IF(E26="در حال اجرا","همایش استانی در حال انجام",IF(F26="در حال اجرا","توانمندسازی در حال انجام",IF(G26="در حال اجرا","اقدام و استمرار در حال انجام",IF(H26="در حال اجرا","ارزیابی و توسعه در حال انجام",""))))))),IF(COUNTIF(B26:H26,"انجام شد")=0,"هنوز اقدامی انجام نشده",IF(H26="انجام شد","ارزیابی و توسعه انجام شد",IF(G26="انجام شد","اقدام و استمرار انجام شد",IF(F26="انجام شد","توانمندسازی انجام شد",IF(E26="انجام شد","همایش استانی انجام شد",IF(D26="انجام شد","رابط شهرستانی انجام شد",IF(C26="انجام شد","رابط استانی انجام شد",IF(B26="انجام شد","شناسایی فعالان انجام شد","")))))))))</f>
        <v/>
      </c>
      <c r="T26" s="11">
        <f>IF(B26&lt;&gt;"انجام شد","شناسایی فعالان"&amp;IF(B26="در حال اجرا"," تکمیل شود"," آغاز شود"),IF(C26&lt;&gt;"انجام شد","رابط استانی"&amp;IF(C26="در حال اجرا"," تکمیل شود"," آغاز شود"),IF(D26&lt;&gt;"انجام شد","رابط شهرستانی"&amp;IF(D26="در حال اجرا"," تکمیل شود"," آغاز شود"),IF(E26&lt;&gt;"انجام شد","همایش استانی"&amp;IF(E26="در حال اجرا"," تکمیل شود"," آغاز شود"),IF(F26&lt;&gt;"انجام شد","توانمندسازی"&amp;IF(F26="در حال اجرا"," تکمیل شود"," آغاز شود"),IF(G26&lt;&gt;"انجام شد","اقدام و استمرار"&amp;IF(G26="در حال اجرا"," تکمیل شود"," آغاز شود"),IF(H26&lt;&gt;"انجام شد","ارزیابی و توسعه"&amp;IF(H26="در حال اجرا"," تکمیل شود"," آغاز شود"),"همه مراحل انجام شده است")))))))</f>
        <v/>
      </c>
      <c r="U26" s="11" t="n"/>
      <c r="V26" s="11" t="n"/>
      <c r="W26" s="11" t="n"/>
    </row>
    <row r="27">
      <c r="A27" s="11" t="inlineStr">
        <is>
          <t>لرستان</t>
        </is>
      </c>
      <c r="B27" s="11" t="inlineStr">
        <is>
          <t>انجام شد</t>
        </is>
      </c>
      <c r="C27" s="11" t="inlineStr">
        <is>
          <t>انجام نشده</t>
        </is>
      </c>
      <c r="D27" s="11" t="inlineStr">
        <is>
          <t>انجام نشده</t>
        </is>
      </c>
      <c r="E27" s="11" t="inlineStr">
        <is>
          <t>انجام نشده</t>
        </is>
      </c>
      <c r="F27" s="11" t="inlineStr">
        <is>
          <t>انجام نشده</t>
        </is>
      </c>
      <c r="G27" s="11" t="inlineStr">
        <is>
          <t>انجام نشده</t>
        </is>
      </c>
      <c r="H27" s="11" t="inlineStr">
        <is>
          <t>انجام نشده</t>
        </is>
      </c>
      <c r="I27" s="12">
        <f>COUNTIF(B27:H27,"انجام شد")/7+COUNTIF(B27:H27,"در حال اجرا")/14</f>
        <v/>
      </c>
      <c r="J27" s="11">
        <f>IF(I27=1,"تکمیل‌شده",IF(I27&gt;0,"در حال اجرا","شروع نشده"))</f>
        <v/>
      </c>
      <c r="K27" s="11" t="n"/>
      <c r="L27" s="11" t="n"/>
      <c r="M27" s="11" t="n"/>
      <c r="N27" s="11" t="n"/>
      <c r="O27" s="11" t="n"/>
      <c r="P27" s="11" t="n"/>
      <c r="Q27" s="11" t="n"/>
      <c r="R27" s="11" t="n"/>
      <c r="S27" s="11">
        <f>IF(COUNTIF(B27:H27,"در حال اجرا")&gt;0,IF(B27="در حال اجرا","شناسایی فعالان در حال انجام",IF(C27="در حال اجرا","رابط استانی در حال انجام",IF(D27="در حال اجرا","رابط شهرستانی در حال انجام",IF(E27="در حال اجرا","همایش استانی در حال انجام",IF(F27="در حال اجرا","توانمندسازی در حال انجام",IF(G27="در حال اجرا","اقدام و استمرار در حال انجام",IF(H27="در حال اجرا","ارزیابی و توسعه در حال انجام",""))))))),IF(COUNTIF(B27:H27,"انجام شد")=0,"هنوز اقدامی انجام نشده",IF(H27="انجام شد","ارزیابی و توسعه انجام شد",IF(G27="انجام شد","اقدام و استمرار انجام شد",IF(F27="انجام شد","توانمندسازی انجام شد",IF(E27="انجام شد","همایش استانی انجام شد",IF(D27="انجام شد","رابط شهرستانی انجام شد",IF(C27="انجام شد","رابط استانی انجام شد",IF(B27="انجام شد","شناسایی فعالان انجام شد","")))))))))</f>
        <v/>
      </c>
      <c r="T27" s="11">
        <f>IF(B27&lt;&gt;"انجام شد","شناسایی فعالان"&amp;IF(B27="در حال اجرا"," تکمیل شود"," آغاز شود"),IF(C27&lt;&gt;"انجام شد","رابط استانی"&amp;IF(C27="در حال اجرا"," تکمیل شود"," آغاز شود"),IF(D27&lt;&gt;"انجام شد","رابط شهرستانی"&amp;IF(D27="در حال اجرا"," تکمیل شود"," آغاز شود"),IF(E27&lt;&gt;"انجام شد","همایش استانی"&amp;IF(E27="در حال اجرا"," تکمیل شود"," آغاز شود"),IF(F27&lt;&gt;"انجام شد","توانمندسازی"&amp;IF(F27="در حال اجرا"," تکمیل شود"," آغاز شود"),IF(G27&lt;&gt;"انجام شد","اقدام و استمرار"&amp;IF(G27="در حال اجرا"," تکمیل شود"," آغاز شود"),IF(H27&lt;&gt;"انجام شد","ارزیابی و توسعه"&amp;IF(H27="در حال اجرا"," تکمیل شود"," آغاز شود"),"همه مراحل انجام شده است")))))))</f>
        <v/>
      </c>
      <c r="U27" s="11" t="n"/>
      <c r="V27" s="11" t="n"/>
      <c r="W27" s="11" t="n"/>
    </row>
    <row r="28">
      <c r="A28" s="11" t="inlineStr">
        <is>
          <t>مازندران</t>
        </is>
      </c>
      <c r="B28" s="11" t="inlineStr">
        <is>
          <t>انجام شد</t>
        </is>
      </c>
      <c r="C28" s="11" t="inlineStr">
        <is>
          <t>انجام نشده</t>
        </is>
      </c>
      <c r="D28" s="11" t="inlineStr">
        <is>
          <t>انجام نشده</t>
        </is>
      </c>
      <c r="E28" s="11" t="inlineStr">
        <is>
          <t>انجام نشده</t>
        </is>
      </c>
      <c r="F28" s="11" t="inlineStr">
        <is>
          <t>انجام نشده</t>
        </is>
      </c>
      <c r="G28" s="11" t="inlineStr">
        <is>
          <t>انجام نشده</t>
        </is>
      </c>
      <c r="H28" s="11" t="inlineStr">
        <is>
          <t>انجام نشده</t>
        </is>
      </c>
      <c r="I28" s="12">
        <f>COUNTIF(B28:H28,"انجام شد")/7+COUNTIF(B28:H28,"در حال اجرا")/14</f>
        <v/>
      </c>
      <c r="J28" s="11">
        <f>IF(I28=1,"تکمیل‌شده",IF(I28&gt;0,"در حال اجرا","شروع نشده"))</f>
        <v/>
      </c>
      <c r="K28" s="11" t="n"/>
      <c r="L28" s="11" t="n"/>
      <c r="M28" s="11" t="n"/>
      <c r="N28" s="11" t="n"/>
      <c r="O28" s="11" t="n"/>
      <c r="P28" s="11" t="n"/>
      <c r="Q28" s="11" t="n"/>
      <c r="R28" s="11" t="n"/>
      <c r="S28" s="11">
        <f>IF(COUNTIF(B28:H28,"در حال اجرا")&gt;0,IF(B28="در حال اجرا","شناسایی فعالان در حال انجام",IF(C28="در حال اجرا","رابط استانی در حال انجام",IF(D28="در حال اجرا","رابط شهرستانی در حال انجام",IF(E28="در حال اجرا","همایش استانی در حال انجام",IF(F28="در حال اجرا","توانمندسازی در حال انجام",IF(G28="در حال اجرا","اقدام و استمرار در حال انجام",IF(H28="در حال اجرا","ارزیابی و توسعه در حال انجام",""))))))),IF(COUNTIF(B28:H28,"انجام شد")=0,"هنوز اقدامی انجام نشده",IF(H28="انجام شد","ارزیابی و توسعه انجام شد",IF(G28="انجام شد","اقدام و استمرار انجام شد",IF(F28="انجام شد","توانمندسازی انجام شد",IF(E28="انجام شد","همایش استانی انجام شد",IF(D28="انجام شد","رابط شهرستانی انجام شد",IF(C28="انجام شد","رابط استانی انجام شد",IF(B28="انجام شد","شناسایی فعالان انجام شد","")))))))))</f>
        <v/>
      </c>
      <c r="T28" s="11">
        <f>IF(B28&lt;&gt;"انجام شد","شناسایی فعالان"&amp;IF(B28="در حال اجرا"," تکمیل شود"," آغاز شود"),IF(C28&lt;&gt;"انجام شد","رابط استانی"&amp;IF(C28="در حال اجرا"," تکمیل شود"," آغاز شود"),IF(D28&lt;&gt;"انجام شد","رابط شهرستانی"&amp;IF(D28="در حال اجرا"," تکمیل شود"," آغاز شود"),IF(E28&lt;&gt;"انجام شد","همایش استانی"&amp;IF(E28="در حال اجرا"," تکمیل شود"," آغاز شود"),IF(F28&lt;&gt;"انجام شد","توانمندسازی"&amp;IF(F28="در حال اجرا"," تکمیل شود"," آغاز شود"),IF(G28&lt;&gt;"انجام شد","اقدام و استمرار"&amp;IF(G28="در حال اجرا"," تکمیل شود"," آغاز شود"),IF(H28&lt;&gt;"انجام شد","ارزیابی و توسعه"&amp;IF(H28="در حال اجرا"," تکمیل شود"," آغاز شود"),"همه مراحل انجام شده است")))))))</f>
        <v/>
      </c>
      <c r="U28" s="11" t="n"/>
      <c r="V28" s="11" t="n"/>
      <c r="W28" s="11" t="n"/>
    </row>
    <row r="29">
      <c r="A29" s="11" t="inlineStr">
        <is>
          <t>مرکزی</t>
        </is>
      </c>
      <c r="B29" s="11" t="inlineStr">
        <is>
          <t>انجام شد</t>
        </is>
      </c>
      <c r="C29" s="11" t="inlineStr">
        <is>
          <t>در حال اجرا</t>
        </is>
      </c>
      <c r="D29" s="11" t="inlineStr">
        <is>
          <t>انجام نشده</t>
        </is>
      </c>
      <c r="E29" s="11" t="inlineStr">
        <is>
          <t>انجام نشده</t>
        </is>
      </c>
      <c r="F29" s="11" t="inlineStr">
        <is>
          <t>انجام نشده</t>
        </is>
      </c>
      <c r="G29" s="11" t="inlineStr">
        <is>
          <t>انجام نشده</t>
        </is>
      </c>
      <c r="H29" s="11" t="inlineStr">
        <is>
          <t>انجام نشده</t>
        </is>
      </c>
      <c r="I29" s="12">
        <f>COUNTIF(B29:H29,"انجام شد")/7+COUNTIF(B29:H29,"در حال اجرا")/14</f>
        <v/>
      </c>
      <c r="J29" s="11">
        <f>IF(I29=1,"تکمیل‌شده",IF(I29&gt;0,"در حال اجرا","شروع نشده"))</f>
        <v/>
      </c>
      <c r="K29" s="11" t="n"/>
      <c r="L29" s="11" t="n"/>
      <c r="M29" s="11" t="n"/>
      <c r="N29" s="11" t="n"/>
      <c r="O29" s="11" t="n"/>
      <c r="P29" s="11" t="n"/>
      <c r="Q29" s="11" t="n"/>
      <c r="R29" s="11" t="n"/>
      <c r="S29" s="11">
        <f>IF(COUNTIF(B29:H29,"در حال اجرا")&gt;0,IF(B29="در حال اجرا","شناسایی فعالان در حال انجام",IF(C29="در حال اجرا","رابط استانی در حال انجام",IF(D29="در حال اجرا","رابط شهرستانی در حال انجام",IF(E29="در حال اجرا","همایش استانی در حال انجام",IF(F29="در حال اجرا","توانمندسازی در حال انجام",IF(G29="در حال اجرا","اقدام و استمرار در حال انجام",IF(H29="در حال اجرا","ارزیابی و توسعه در حال انجام",""))))))),IF(COUNTIF(B29:H29,"انجام شد")=0,"هنوز اقدامی انجام نشده",IF(H29="انجام شد","ارزیابی و توسعه انجام شد",IF(G29="انجام شد","اقدام و استمرار انجام شد",IF(F29="انجام شد","توانمندسازی انجام شد",IF(E29="انجام شد","همایش استانی انجام شد",IF(D29="انجام شد","رابط شهرستانی انجام شد",IF(C29="انجام شد","رابط استانی انجام شد",IF(B29="انجام شد","شناسایی فعالان انجام شد","")))))))))</f>
        <v/>
      </c>
      <c r="T29" s="11">
        <f>IF(B29&lt;&gt;"انجام شد","شناسایی فعالان"&amp;IF(B29="در حال اجرا"," تکمیل شود"," آغاز شود"),IF(C29&lt;&gt;"انجام شد","رابط استانی"&amp;IF(C29="در حال اجرا"," تکمیل شود"," آغاز شود"),IF(D29&lt;&gt;"انجام شد","رابط شهرستانی"&amp;IF(D29="در حال اجرا"," تکمیل شود"," آغاز شود"),IF(E29&lt;&gt;"انجام شد","همایش استانی"&amp;IF(E29="در حال اجرا"," تکمیل شود"," آغاز شود"),IF(F29&lt;&gt;"انجام شد","توانمندسازی"&amp;IF(F29="در حال اجرا"," تکمیل شود"," آغاز شود"),IF(G29&lt;&gt;"انجام شد","اقدام و استمرار"&amp;IF(G29="در حال اجرا"," تکمیل شود"," آغاز شود"),IF(H29&lt;&gt;"انجام شد","ارزیابی و توسعه"&amp;IF(H29="در حال اجرا"," تکمیل شود"," آغاز شود"),"همه مراحل انجام شده است")))))))</f>
        <v/>
      </c>
      <c r="U29" s="11" t="n"/>
      <c r="V29" s="11" t="n"/>
      <c r="W29" s="11" t="n"/>
    </row>
    <row r="30">
      <c r="A30" s="11" t="inlineStr">
        <is>
          <t>هرمزگان</t>
        </is>
      </c>
      <c r="B30" s="11" t="inlineStr">
        <is>
          <t>انجام شد</t>
        </is>
      </c>
      <c r="C30" s="11" t="inlineStr">
        <is>
          <t>انجام نشده</t>
        </is>
      </c>
      <c r="D30" s="11" t="inlineStr">
        <is>
          <t>انجام نشده</t>
        </is>
      </c>
      <c r="E30" s="11" t="inlineStr">
        <is>
          <t>انجام نشده</t>
        </is>
      </c>
      <c r="F30" s="11" t="inlineStr">
        <is>
          <t>انجام نشده</t>
        </is>
      </c>
      <c r="G30" s="11" t="inlineStr">
        <is>
          <t>انجام نشده</t>
        </is>
      </c>
      <c r="H30" s="11" t="inlineStr">
        <is>
          <t>انجام نشده</t>
        </is>
      </c>
      <c r="I30" s="12">
        <f>COUNTIF(B30:H30,"انجام شد")/7+COUNTIF(B30:H30,"در حال اجرا")/14</f>
        <v/>
      </c>
      <c r="J30" s="11">
        <f>IF(I30=1,"تکمیل‌شده",IF(I30&gt;0,"در حال اجرا","شروع نشده"))</f>
        <v/>
      </c>
      <c r="K30" s="11" t="n"/>
      <c r="L30" s="11" t="n"/>
      <c r="M30" s="11" t="n"/>
      <c r="N30" s="11" t="n"/>
      <c r="O30" s="11" t="n"/>
      <c r="P30" s="11" t="n"/>
      <c r="Q30" s="11" t="n"/>
      <c r="R30" s="11" t="n"/>
      <c r="S30" s="11">
        <f>IF(COUNTIF(B30:H30,"در حال اجرا")&gt;0,IF(B30="در حال اجرا","شناسایی فعالان در حال انجام",IF(C30="در حال اجرا","رابط استانی در حال انجام",IF(D30="در حال اجرا","رابط شهرستانی در حال انجام",IF(E30="در حال اجرا","همایش استانی در حال انجام",IF(F30="در حال اجرا","توانمندسازی در حال انجام",IF(G30="در حال اجرا","اقدام و استمرار در حال انجام",IF(H30="در حال اجرا","ارزیابی و توسعه در حال انجام",""))))))),IF(COUNTIF(B30:H30,"انجام شد")=0,"هنوز اقدامی انجام نشده",IF(H30="انجام شد","ارزیابی و توسعه انجام شد",IF(G30="انجام شد","اقدام و استمرار انجام شد",IF(F30="انجام شد","توانمندسازی انجام شد",IF(E30="انجام شد","همایش استانی انجام شد",IF(D30="انجام شد","رابط شهرستانی انجام شد",IF(C30="انجام شد","رابط استانی انجام شد",IF(B30="انجام شد","شناسایی فعالان انجام شد","")))))))))</f>
        <v/>
      </c>
      <c r="T30" s="11">
        <f>IF(B30&lt;&gt;"انجام شد","شناسایی فعالان"&amp;IF(B30="در حال اجرا"," تکمیل شود"," آغاز شود"),IF(C30&lt;&gt;"انجام شد","رابط استانی"&amp;IF(C30="در حال اجرا"," تکمیل شود"," آغاز شود"),IF(D30&lt;&gt;"انجام شد","رابط شهرستانی"&amp;IF(D30="در حال اجرا"," تکمیل شود"," آغاز شود"),IF(E30&lt;&gt;"انجام شد","همایش استانی"&amp;IF(E30="در حال اجرا"," تکمیل شود"," آغاز شود"),IF(F30&lt;&gt;"انجام شد","توانمندسازی"&amp;IF(F30="در حال اجرا"," تکمیل شود"," آغاز شود"),IF(G30&lt;&gt;"انجام شد","اقدام و استمرار"&amp;IF(G30="در حال اجرا"," تکمیل شود"," آغاز شود"),IF(H30&lt;&gt;"انجام شد","ارزیابی و توسعه"&amp;IF(H30="در حال اجرا"," تکمیل شود"," آغاز شود"),"همه مراحل انجام شده است")))))))</f>
        <v/>
      </c>
      <c r="U30" s="11" t="n"/>
      <c r="V30" s="11" t="n"/>
      <c r="W30" s="11" t="n"/>
    </row>
    <row r="31">
      <c r="A31" s="11" t="inlineStr">
        <is>
          <t>همدان</t>
        </is>
      </c>
      <c r="B31" s="11" t="inlineStr">
        <is>
          <t>انجام شد</t>
        </is>
      </c>
      <c r="C31" s="11" t="inlineStr">
        <is>
          <t>انجام نشده</t>
        </is>
      </c>
      <c r="D31" s="11" t="inlineStr">
        <is>
          <t>انجام نشده</t>
        </is>
      </c>
      <c r="E31" s="11" t="inlineStr">
        <is>
          <t>انجام نشده</t>
        </is>
      </c>
      <c r="F31" s="11" t="inlineStr">
        <is>
          <t>انجام نشده</t>
        </is>
      </c>
      <c r="G31" s="11" t="inlineStr">
        <is>
          <t>انجام نشده</t>
        </is>
      </c>
      <c r="H31" s="11" t="inlineStr">
        <is>
          <t>انجام نشده</t>
        </is>
      </c>
      <c r="I31" s="12">
        <f>COUNTIF(B31:H31,"انجام شد")/7+COUNTIF(B31:H31,"در حال اجرا")/14</f>
        <v/>
      </c>
      <c r="J31" s="11">
        <f>IF(I31=1,"تکمیل‌شده",IF(I31&gt;0,"در حال اجرا","شروع نشده"))</f>
        <v/>
      </c>
      <c r="K31" s="11" t="n"/>
      <c r="L31" s="11" t="n"/>
      <c r="M31" s="11" t="n"/>
      <c r="N31" s="11" t="n"/>
      <c r="O31" s="11" t="n"/>
      <c r="P31" s="11" t="n"/>
      <c r="Q31" s="11" t="n"/>
      <c r="R31" s="11" t="n"/>
      <c r="S31" s="11">
        <f>IF(COUNTIF(B31:H31,"در حال اجرا")&gt;0,IF(B31="در حال اجرا","شناسایی فعالان در حال انجام",IF(C31="در حال اجرا","رابط استانی در حال انجام",IF(D31="در حال اجرا","رابط شهرستانی در حال انجام",IF(E31="در حال اجرا","همایش استانی در حال انجام",IF(F31="در حال اجرا","توانمندسازی در حال انجام",IF(G31="در حال اجرا","اقدام و استمرار در حال انجام",IF(H31="در حال اجرا","ارزیابی و توسعه در حال انجام",""))))))),IF(COUNTIF(B31:H31,"انجام شد")=0,"هنوز اقدامی انجام نشده",IF(H31="انجام شد","ارزیابی و توسعه انجام شد",IF(G31="انجام شد","اقدام و استمرار انجام شد",IF(F31="انجام شد","توانمندسازی انجام شد",IF(E31="انجام شد","همایش استانی انجام شد",IF(D31="انجام شد","رابط شهرستانی انجام شد",IF(C31="انجام شد","رابط استانی انجام شد",IF(B31="انجام شد","شناسایی فعالان انجام شد","")))))))))</f>
        <v/>
      </c>
      <c r="T31" s="11">
        <f>IF(B31&lt;&gt;"انجام شد","شناسایی فعالان"&amp;IF(B31="در حال اجرا"," تکمیل شود"," آغاز شود"),IF(C31&lt;&gt;"انجام شد","رابط استانی"&amp;IF(C31="در حال اجرا"," تکمیل شود"," آغاز شود"),IF(D31&lt;&gt;"انجام شد","رابط شهرستانی"&amp;IF(D31="در حال اجرا"," تکمیل شود"," آغاز شود"),IF(E31&lt;&gt;"انجام شد","همایش استانی"&amp;IF(E31="در حال اجرا"," تکمیل شود"," آغاز شود"),IF(F31&lt;&gt;"انجام شد","توانمندسازی"&amp;IF(F31="در حال اجرا"," تکمیل شود"," آغاز شود"),IF(G31&lt;&gt;"انجام شد","اقدام و استمرار"&amp;IF(G31="در حال اجرا"," تکمیل شود"," آغاز شود"),IF(H31&lt;&gt;"انجام شد","ارزیابی و توسعه"&amp;IF(H31="در حال اجرا"," تکمیل شود"," آغاز شود"),"همه مراحل انجام شده است")))))))</f>
        <v/>
      </c>
      <c r="U31" s="11" t="n"/>
      <c r="V31" s="11" t="n"/>
      <c r="W31" s="11" t="n"/>
    </row>
    <row r="32">
      <c r="A32" s="11" t="inlineStr">
        <is>
          <t>یزد</t>
        </is>
      </c>
      <c r="B32" s="11" t="inlineStr">
        <is>
          <t>انجام شد</t>
        </is>
      </c>
      <c r="C32" s="11" t="inlineStr">
        <is>
          <t>انجام نشده</t>
        </is>
      </c>
      <c r="D32" s="11" t="inlineStr">
        <is>
          <t>انجام نشده</t>
        </is>
      </c>
      <c r="E32" s="11" t="inlineStr">
        <is>
          <t>انجام نشده</t>
        </is>
      </c>
      <c r="F32" s="11" t="inlineStr">
        <is>
          <t>انجام نشده</t>
        </is>
      </c>
      <c r="G32" s="11" t="inlineStr">
        <is>
          <t>انجام نشده</t>
        </is>
      </c>
      <c r="H32" s="11" t="inlineStr">
        <is>
          <t>انجام نشده</t>
        </is>
      </c>
      <c r="I32" s="12">
        <f>COUNTIF(B32:H32,"انجام شد")/7+COUNTIF(B32:H32,"در حال اجرا")/14</f>
        <v/>
      </c>
      <c r="J32" s="11">
        <f>IF(I32=1,"تکمیل‌شده",IF(I32&gt;0,"در حال اجرا","شروع نشده"))</f>
        <v/>
      </c>
      <c r="K32" s="11" t="n"/>
      <c r="L32" s="11" t="n"/>
      <c r="M32" s="11" t="n"/>
      <c r="N32" s="11" t="n"/>
      <c r="O32" s="11" t="n"/>
      <c r="P32" s="11" t="n"/>
      <c r="Q32" s="11" t="n"/>
      <c r="R32" s="11" t="n"/>
      <c r="S32" s="11">
        <f>IF(COUNTIF(B32:H32,"در حال اجرا")&gt;0,IF(B32="در حال اجرا","شناسایی فعالان در حال انجام",IF(C32="در حال اجرا","رابط استانی در حال انجام",IF(D32="در حال اجرا","رابط شهرستانی در حال انجام",IF(E32="در حال اجرا","همایش استانی در حال انجام",IF(F32="در حال اجرا","توانمندسازی در حال انجام",IF(G32="در حال اجرا","اقدام و استمرار در حال انجام",IF(H32="در حال اجرا","ارزیابی و توسعه در حال انجام",""))))))),IF(COUNTIF(B32:H32,"انجام شد")=0,"هنوز اقدامی انجام نشده",IF(H32="انجام شد","ارزیابی و توسعه انجام شد",IF(G32="انجام شد","اقدام و استمرار انجام شد",IF(F32="انجام شد","توانمندسازی انجام شد",IF(E32="انجام شد","همایش استانی انجام شد",IF(D32="انجام شد","رابط شهرستانی انجام شد",IF(C32="انجام شد","رابط استانی انجام شد",IF(B32="انجام شد","شناسایی فعالان انجام شد","")))))))))</f>
        <v/>
      </c>
      <c r="T32" s="11">
        <f>IF(B32&lt;&gt;"انجام شد","شناسایی فعالان"&amp;IF(B32="در حال اجرا"," تکمیل شود"," آغاز شود"),IF(C32&lt;&gt;"انجام شد","رابط استانی"&amp;IF(C32="در حال اجرا"," تکمیل شود"," آغاز شود"),IF(D32&lt;&gt;"انجام شد","رابط شهرستانی"&amp;IF(D32="در حال اجرا"," تکمیل شود"," آغاز شود"),IF(E32&lt;&gt;"انجام شد","همایش استانی"&amp;IF(E32="در حال اجرا"," تکمیل شود"," آغاز شود"),IF(F32&lt;&gt;"انجام شد","توانمندسازی"&amp;IF(F32="در حال اجرا"," تکمیل شود"," آغاز شود"),IF(G32&lt;&gt;"انجام شد","اقدام و استمرار"&amp;IF(G32="در حال اجرا"," تکمیل شود"," آغاز شود"),IF(H32&lt;&gt;"انجام شد","ارزیابی و توسعه"&amp;IF(H32="در حال اجرا"," تکمیل شود"," آغاز شود"),"همه مراحل انجام شده است")))))))</f>
        <v/>
      </c>
      <c r="U32" s="11" t="n"/>
      <c r="V32" s="11" t="n"/>
      <c r="W32" s="11" t="n"/>
    </row>
  </sheetData>
  <dataValidations count="2">
    <dataValidation sqref="B2:H32" showDropDown="0" showInputMessage="0" showErrorMessage="0" allowBlank="1" type="list">
      <formula1>"انجام نشده,در حال اجرا,انجام شد"</formula1>
    </dataValidation>
    <dataValidation sqref="K2:K32" showDropDown="0" showInputMessage="0" showErrorMessage="0" allowBlank="1" type="list">
      <formula1>"دارد,ندارد"</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rightToLeft="1" workbookViewId="0">
      <selection activeCell="A1" sqref="A1"/>
    </sheetView>
  </sheetViews>
  <sheetFormatPr baseColWidth="8" defaultRowHeight="14.25"/>
  <cols>
    <col width="105" customWidth="1" style="9" min="1" max="1"/>
  </cols>
  <sheetData>
    <row r="1" ht="60.75" customHeight="1" s="9">
      <c r="A1" s="13" t="inlineStr">
        <is>
          <t>راهنمای ورود اطلاعات</t>
        </is>
      </c>
    </row>
    <row r="2">
      <c r="A2" s="14" t="inlineStr">
        <is>
          <t>۱. در ۷ گام، یکی از سه وضعیت «انجام نشده»، «در حال اجرا» یا «انجام شد» را انتخاب کنید.</t>
        </is>
      </c>
    </row>
    <row r="3" ht="199.5" customHeight="1" s="9">
      <c r="A3" s="14" t="inlineStr">
        <is>
          <t>۲. درصد پیشرفت کلی و وضعیت کلی به‌صورت خودکار محاسبه می‌شوند.</t>
        </is>
      </c>
    </row>
    <row r="4" ht="114" customHeight="1" s="9">
      <c r="A4" s="14" t="inlineStr">
        <is>
          <t>۳. «آخرین اقدام» و «اقدام بعدی» نیز از وضعیت ۷ گام به‌صورت خودکار ساخته می‌شوند.</t>
        </is>
      </c>
    </row>
    <row r="5" ht="114" customHeight="1" s="9">
      <c r="A5" s="14" t="inlineStr">
        <is>
          <t>۴. برای تغییر متن انگیزشی، متن را در سلول A2 برگه «پیام انگیزشی» وارد کنید.</t>
        </is>
      </c>
    </row>
    <row r="6" ht="99.75" customHeight="1" s="9">
      <c r="A6" s="14" t="inlineStr">
        <is>
          <t>۵. فایل را با نام data.xlsx در کنار index.html در GitHub قرار دهید.</t>
        </is>
      </c>
    </row>
    <row r="7" ht="114" customHeight="1" s="9">
      <c r="A7" s="8" t="inlineStr">
        <is>
          <t>5. درصد پیشرفت کلی و وضعیت کلی به‌صورت خودکار محاسبه می‌شوند.</t>
        </is>
      </c>
    </row>
    <row r="8" ht="156.75" customHeight="1" s="9">
      <c r="A8" s="8" t="inlineStr">
        <is>
          <t>6. شاخص‌های کلان شامل ۱۰ مورد است و در برگه «آمار کلان» به‌صورت خودکار جمع‌بندی می‌شود.</t>
        </is>
      </c>
    </row>
    <row r="9" ht="185.25" customHeight="1" s="9">
      <c r="A9" s="8" t="inlineStr">
        <is>
          <t>7. برای متن انگیزشی، متن دلخواه را فقط در سلول A2 برگه «پیام انگیزشی» وارد کنید؛ در سایت بدون عنوان نمایش داده می‌شود.</t>
        </is>
      </c>
    </row>
    <row r="10" ht="142.5" customHeight="1" s="9">
      <c r="A10" s="8" t="inlineStr">
        <is>
          <t>8. برای به‌روزرسانی داشبورد، همین فایل را با نام دقیق data.xlsx در GitHub جایگزین کنید.</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1"/>
  <sheetViews>
    <sheetView rightToLeft="1" workbookViewId="0">
      <selection activeCell="A4" sqref="A4"/>
    </sheetView>
  </sheetViews>
  <sheetFormatPr baseColWidth="8" defaultRowHeight="14.25"/>
  <cols>
    <col width="100" customWidth="1" style="9" min="1" max="1"/>
  </cols>
  <sheetData>
    <row r="1" ht="15" customHeight="1" s="9">
      <c r="A1" s="4" t="inlineStr">
        <is>
          <t>متن انگیزشی سایت</t>
        </is>
      </c>
    </row>
    <row r="2" ht="110" customHeight="1" s="9">
      <c r="A2" s="15" t="inlineStr">
        <is>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is>
      </c>
    </row>
    <row r="3" ht="18" customHeight="1" s="9">
      <c r="A3" s="7" t="inlineStr">
        <is>
          <t>نفس گوینده به شنونده می‌خورد، یک چیز</t>
        </is>
      </c>
    </row>
    <row r="4" ht="18" customHeight="1" s="9">
      <c r="A4" s="7" t="inlineStr">
        <is>
          <t>دیگری است... این مجالس روضه‌خوانی،</t>
        </is>
      </c>
    </row>
    <row r="5" ht="18" customHeight="1" s="9">
      <c r="A5" s="7" t="inlineStr">
        <is>
          <t>مجالس وعظ و خطابه، مجالس گوناگون</t>
        </is>
      </c>
    </row>
    <row r="6" ht="18" customHeight="1" s="9">
      <c r="A6" s="7" t="inlineStr">
        <is>
          <t>خیلی چیزهای مهمی است؛ اینها را</t>
        </is>
      </c>
    </row>
    <row r="7" ht="18" customHeight="1" s="9">
      <c r="A7" s="7" t="inlineStr">
        <is>
          <t>دست کم نباید گرفت؛ (چون) هم از فضای</t>
        </is>
      </c>
    </row>
    <row r="8" ht="18" customHeight="1" s="9">
      <c r="A8" s="7" t="inlineStr">
        <is>
          <t>مجازی مؤثرتر است. هم از صداوسیما</t>
        </is>
      </c>
    </row>
    <row r="9" ht="18" customHeight="1" s="9">
      <c r="A9" s="7" t="inlineStr">
        <is>
          <t>مؤثرتر است.</t>
        </is>
      </c>
    </row>
    <row r="10" ht="18" customHeight="1" s="9">
      <c r="A10" s="7" t="inlineStr">
        <is>
          <t>بیانات مقام معظم رهبری (ره) در دیدار ائمه جماعات مساجد</t>
        </is>
      </c>
    </row>
    <row r="11" ht="18" customHeight="1" s="9">
      <c r="A11" s="7" t="inlineStr">
        <is>
          <t>استان تهران، ۳۱/ ۰۵/ ۱۳۹۵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2026-08-16T07:00:52Z</dcterms:created>
  <dcterms:modified xmlns:dcterms="http://purl.org/dc/terms/" xmlns:xsi="http://www.w3.org/2001/XMLSchema-instance" xsi:type="dcterms:W3CDTF">2026-08-19T14:30:00Z</dcterms:modified>
  <cp:lastModifiedBy>MASHAR1542</cp:lastModifiedBy>
</cp:coreProperties>
</file>