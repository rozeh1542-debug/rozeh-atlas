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دفتر هیأت و خانواده\روضه خانگی\عملیات ها\۰طرح ملی روضه خانگی\اطلس جامع طرح روضه خانگی\"/>
    </mc:Choice>
  </mc:AlternateContent>
  <xr:revisionPtr revIDLastSave="0" documentId="13_ncr:1_{F88AB78D-0306-42A9-AD77-758478638C79}" xr6:coauthVersionLast="47" xr6:coauthVersionMax="47" xr10:uidLastSave="{00000000-0000-0000-0000-000000000000}"/>
  <bookViews>
    <workbookView xWindow="-120" yWindow="-120" windowWidth="24240" windowHeight="13020" activeTab="1" xr2:uid="{00000000-000D-0000-FFFF-FFFF00000000}"/>
  </bookViews>
  <sheets>
    <sheet name="آمار کلان" sheetId="1" r:id="rId1"/>
    <sheet name="اطلاعات استان‌ها" sheetId="2" r:id="rId2"/>
    <sheet name="راهنمای ورود اطلاعات" sheetId="3" r:id="rId3"/>
    <sheet name="پیام انگیزشی" sheetId="4" r:id="rId4"/>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 i="1" l="1"/>
  <c r="C9" i="1"/>
  <c r="C8" i="1"/>
  <c r="C7" i="1"/>
  <c r="C6" i="1"/>
  <c r="C5" i="1"/>
  <c r="C4" i="1"/>
  <c r="T32" i="2"/>
  <c r="S32" i="2"/>
  <c r="I32" i="2"/>
  <c r="J32" i="2" s="1"/>
  <c r="T31" i="2"/>
  <c r="S31" i="2"/>
  <c r="I31" i="2"/>
  <c r="J31" i="2" s="1"/>
  <c r="T30" i="2"/>
  <c r="S30" i="2"/>
  <c r="I30" i="2"/>
  <c r="J30" i="2" s="1"/>
  <c r="T29" i="2"/>
  <c r="S29" i="2"/>
  <c r="I29" i="2"/>
  <c r="J29" i="2" s="1"/>
  <c r="T28" i="2"/>
  <c r="S28" i="2"/>
  <c r="I28" i="2"/>
  <c r="J28" i="2" s="1"/>
  <c r="T27" i="2"/>
  <c r="S27" i="2"/>
  <c r="I27" i="2"/>
  <c r="J27" i="2" s="1"/>
  <c r="T26" i="2"/>
  <c r="S26" i="2"/>
  <c r="I26" i="2"/>
  <c r="J26" i="2" s="1"/>
  <c r="T25" i="2"/>
  <c r="S25" i="2"/>
  <c r="I25" i="2"/>
  <c r="J25" i="2" s="1"/>
  <c r="T24" i="2"/>
  <c r="S24" i="2"/>
  <c r="I24" i="2"/>
  <c r="J24" i="2" s="1"/>
  <c r="T23" i="2"/>
  <c r="S23" i="2"/>
  <c r="I23" i="2"/>
  <c r="J23" i="2" s="1"/>
  <c r="T22" i="2"/>
  <c r="S22" i="2"/>
  <c r="I22" i="2"/>
  <c r="J22" i="2" s="1"/>
  <c r="T21" i="2"/>
  <c r="S21" i="2"/>
  <c r="I21" i="2"/>
  <c r="J21" i="2" s="1"/>
  <c r="T20" i="2"/>
  <c r="S20" i="2"/>
  <c r="I20" i="2"/>
  <c r="J20" i="2" s="1"/>
  <c r="T19" i="2"/>
  <c r="S19" i="2"/>
  <c r="I19" i="2"/>
  <c r="J19" i="2" s="1"/>
  <c r="T18" i="2"/>
  <c r="S18" i="2"/>
  <c r="I18" i="2"/>
  <c r="J18" i="2" s="1"/>
  <c r="T17" i="2"/>
  <c r="S17" i="2"/>
  <c r="I17" i="2"/>
  <c r="J17" i="2" s="1"/>
  <c r="T16" i="2"/>
  <c r="S16" i="2"/>
  <c r="I16" i="2"/>
  <c r="J16" i="2" s="1"/>
  <c r="T15" i="2"/>
  <c r="S15" i="2"/>
  <c r="I15" i="2"/>
  <c r="J15" i="2" s="1"/>
  <c r="T14" i="2"/>
  <c r="S14" i="2"/>
  <c r="I14" i="2"/>
  <c r="J14" i="2" s="1"/>
  <c r="T13" i="2"/>
  <c r="S13" i="2"/>
  <c r="I13" i="2"/>
  <c r="J13" i="2" s="1"/>
  <c r="T12" i="2"/>
  <c r="S12" i="2"/>
  <c r="I12" i="2"/>
  <c r="J12" i="2" s="1"/>
  <c r="T11" i="2"/>
  <c r="S11" i="2"/>
  <c r="I11" i="2"/>
  <c r="J11" i="2" s="1"/>
  <c r="T10" i="2"/>
  <c r="S10" i="2"/>
  <c r="I10" i="2"/>
  <c r="J10" i="2" s="1"/>
  <c r="T9" i="2"/>
  <c r="S9" i="2"/>
  <c r="I9" i="2"/>
  <c r="J9" i="2" s="1"/>
  <c r="T8" i="2"/>
  <c r="S8" i="2"/>
  <c r="I8" i="2"/>
  <c r="J8" i="2" s="1"/>
  <c r="T7" i="2"/>
  <c r="S7" i="2"/>
  <c r="I7" i="2"/>
  <c r="J7" i="2" s="1"/>
  <c r="T6" i="2"/>
  <c r="S6" i="2"/>
  <c r="I6" i="2"/>
  <c r="J6" i="2" s="1"/>
  <c r="T5" i="2"/>
  <c r="S5" i="2"/>
  <c r="I5" i="2"/>
  <c r="J5" i="2" s="1"/>
  <c r="T4" i="2"/>
  <c r="S4" i="2"/>
  <c r="I4" i="2"/>
  <c r="J4" i="2" s="1"/>
  <c r="T3" i="2"/>
  <c r="S3" i="2"/>
  <c r="I3" i="2"/>
  <c r="J3" i="2" s="1"/>
  <c r="T2" i="2"/>
  <c r="S2" i="2"/>
  <c r="I2" i="2"/>
  <c r="J2" i="2" s="1"/>
  <c r="C12" i="1" l="1"/>
  <c r="C3" i="1"/>
  <c r="C11" i="1"/>
</calcChain>
</file>

<file path=xl/sharedStrings.xml><?xml version="1.0" encoding="utf-8"?>
<sst xmlns="http://schemas.openxmlformats.org/spreadsheetml/2006/main" count="306" uniqueCount="86">
  <si>
    <t>استان</t>
  </si>
  <si>
    <t>گام ۱ - شناسایی فعالان</t>
  </si>
  <si>
    <t>گام ۲ - رابط استانی</t>
  </si>
  <si>
    <t>گام ۳ - رابط شهرستانی</t>
  </si>
  <si>
    <t>گام ۴ - همایش استانی</t>
  </si>
  <si>
    <t>گام ۵ - توانمندسازی</t>
  </si>
  <si>
    <t>گام ۶ - اقدام و استمرار</t>
  </si>
  <si>
    <t>گام ۷ - ارزیابی و توسعه</t>
  </si>
  <si>
    <t>درصد پیشرفت کلی</t>
  </si>
  <si>
    <t>وضعیت کلی</t>
  </si>
  <si>
    <t>رابط استانی</t>
  </si>
  <si>
    <t>تعداد رابطان شهرستانی</t>
  </si>
  <si>
    <t>تعداد شهرستان‌های فعال</t>
  </si>
  <si>
    <t>نام شهرستان‌های فعال</t>
  </si>
  <si>
    <t>تعداد هیأت‌ها و مجموعه‌های شناسایی‌شده</t>
  </si>
  <si>
    <t>تعداد روضه‌های خانگی فعال</t>
  </si>
  <si>
    <t>تعداد روضه‌های خانگی برگزارشده</t>
  </si>
  <si>
    <t>تعداد مخاطبان</t>
  </si>
  <si>
    <t>آخرین اقدام</t>
  </si>
  <si>
    <t>اقدام بعدی</t>
  </si>
  <si>
    <t>مسائل و موانع</t>
  </si>
  <si>
    <t>آخرین به‌روزرسانی</t>
  </si>
  <si>
    <t>توضیحات</t>
  </si>
  <si>
    <t>آذربایجان شرقی</t>
  </si>
  <si>
    <t>انجام شد</t>
  </si>
  <si>
    <t>انجام نشده</t>
  </si>
  <si>
    <t>آذربایجان غربی</t>
  </si>
  <si>
    <t>اردبیل</t>
  </si>
  <si>
    <t>اصفهان</t>
  </si>
  <si>
    <t>البرز</t>
  </si>
  <si>
    <t>ایلام</t>
  </si>
  <si>
    <t>بوشهر</t>
  </si>
  <si>
    <t>در حال اجرا</t>
  </si>
  <si>
    <t>تهران</t>
  </si>
  <si>
    <t>چهارمحال و بختیاری</t>
  </si>
  <si>
    <t>خراسان جنوبی</t>
  </si>
  <si>
    <t>خراسان رضوی</t>
  </si>
  <si>
    <t>خراسان شمالی</t>
  </si>
  <si>
    <t>خوزستان</t>
  </si>
  <si>
    <t>زنجان</t>
  </si>
  <si>
    <t>سمنان</t>
  </si>
  <si>
    <t>سیستان و بلوچستان</t>
  </si>
  <si>
    <t>فارس</t>
  </si>
  <si>
    <t>قزوین</t>
  </si>
  <si>
    <t>قم</t>
  </si>
  <si>
    <t>کردستان</t>
  </si>
  <si>
    <t>کرمان</t>
  </si>
  <si>
    <t>کرمانشاه</t>
  </si>
  <si>
    <t>کهگیلویه و بویراحمد</t>
  </si>
  <si>
    <t>گلستان</t>
  </si>
  <si>
    <t>گیلان</t>
  </si>
  <si>
    <t>لرستان</t>
  </si>
  <si>
    <t>مازندران</t>
  </si>
  <si>
    <t>مرکزی</t>
  </si>
  <si>
    <t>هرمزگان</t>
  </si>
  <si>
    <t>همدان</t>
  </si>
  <si>
    <t>یزد</t>
  </si>
  <si>
    <t>شاخص‌های کلان اطلس پیشرفت طرح احیای روضه‌های خانگی</t>
  </si>
  <si>
    <t>ردیف</t>
  </si>
  <si>
    <t>شاخص</t>
  </si>
  <si>
    <t>مقدار</t>
  </si>
  <si>
    <t>تعداد استان‌های فعال</t>
  </si>
  <si>
    <t>تعداد رابطان استانی</t>
  </si>
  <si>
    <t>تعداد شهرستان‌های تحت پوشش</t>
  </si>
  <si>
    <t>تعداد خانواده‌های مشارکت‌کننده</t>
  </si>
  <si>
    <t>راهنمای ورود اطلاعات</t>
  </si>
  <si>
    <t>۱. در ۷ گام، یکی از سه وضعیت «انجام نشده»، «در حال اجرا» یا «انجام شد» را انتخاب کنید.</t>
  </si>
  <si>
    <t>۲. درصد پیشرفت کلی و وضعیت کلی به‌صورت خودکار محاسبه می‌شوند.</t>
  </si>
  <si>
    <t>۳. «آخرین اقدام» و «اقدام بعدی» نیز از وضعیت ۷ گام به‌صورت خودکار ساخته می‌شوند.</t>
  </si>
  <si>
    <t>۴. برای تغییر متن انگیزشی، متن را در سلول A2 برگه «پیام انگیزشی» وارد کنید.</t>
  </si>
  <si>
    <t>۵. فایل را با نام data.xlsx در کنار index.html در GitHub قرار دهید.</t>
  </si>
  <si>
    <t>5. درصد پیشرفت کلی و وضعیت کلی به‌صورت خودکار محاسبه می‌شوند.</t>
  </si>
  <si>
    <t>6. شاخص‌های کلان شامل ۱۰ مورد است و در برگه «آمار کلان» به‌صورت خودکار جمع‌بندی می‌شود.</t>
  </si>
  <si>
    <t>7. برای متن انگیزشی، متن دلخواه را فقط در سلول A2 برگه «پیام انگیزشی» وارد کنید؛ در سایت بدون عنوان نمایش داده می‌شود.</t>
  </si>
  <si>
    <t>8. برای به‌روزرسانی داشبورد، همین فایل را با نام دقیق data.xlsx در GitHub جایگزین کنید.</t>
  </si>
  <si>
    <t>نفس گوینده به شنونده می‌خورد، یک چیز</t>
  </si>
  <si>
    <t>دیگری است... این مجالس روضه‌خوانی،</t>
  </si>
  <si>
    <t>مجالس وعظ و خطابه، مجالس گوناگون</t>
  </si>
  <si>
    <t>خیلی چیزهای مهمی است؛ اینها را</t>
  </si>
  <si>
    <t>دست کم نباید گرفت؛ (چون) هم از فضای</t>
  </si>
  <si>
    <t>مجازی مؤثرتر است. هم از صداوسیما</t>
  </si>
  <si>
    <t>مؤثرتر است.</t>
  </si>
  <si>
    <t>بیانات مقام معظم رهبری (ره) در دیدار ائمه جماعات مساجد</t>
  </si>
  <si>
    <t>استان تهران، ۳۱/ ۰۵/ ۱۳۹۵</t>
  </si>
  <si>
    <t xml:space="preserve">نگاه چشم در چشم و جلسه نزدیک که </t>
  </si>
  <si>
    <t>نگاه چشم در چشم و جلسه نزدیک که 
نفس گوینده به شنونده می‌خورد، یک چیز
دیگری است... این مجالس روضه‌خوانی،
مجالس وعظ و خطابه، مجالس گوناگون
خیلی چیزهای مهمی است؛ اینها را
دست کم نباید گرفت؛ (چون) هم از فضای
مجازی مؤثرتر است. هم از صداوسیما
مؤثرتر است.
بیانات مقام معظم رهبری (ره) در دیدار ائمه جماعات مساجد
استان تهران، ۳۱/ ۰۵/ ۱۳۹۵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</si>
</sst>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1"/>
      <color rgb="FFFFFFFF"/>
      <name val="Arial"/>
    </font>
    <font>
      <b/>
      <sz val="16"/>
      <name val="Arial"/>
    </font>
    <font>
      <sz val="11"/>
      <color theme="1"/>
      <name val="B Nazanin"/>
      <charset val="178"/>
    </font>
    <font>
      <b/>
      <sz val="11"/>
      <color rgb="FFFFFFFF"/>
      <name val="Arial"/>
    </font>
  </fonts>
  <fills count="4">
    <fill>
      <patternFill patternType="none"/>
    </fill>
    <fill>
      <patternFill patternType="gray125"/>
    </fill>
    <fill>
      <patternFill patternType="solid">
        <fgColor rgb="FF667A35"/>
      </patternFill>
    </fill>
    <fill>
      <patternFill patternType="solid">
        <fgColor rgb="FF667A35"/>
      </patternFill>
    </fill>
  </fills>
  <borders count="2">
    <border>
      <left/>
      <right/>
      <top/>
      <bottom/>
      <diagonal/>
    </border>
    <border>
      <left/>
      <right/>
      <top/>
      <bottom style="thin">
        <color rgb="FFD9D9D9"/>
      </bottom>
      <diagonal/>
    </border>
  </borders>
  <cellStyleXfs count="1">
    <xf numFmtId="0" fontId="0" fillId="0" borderId="0"/>
  </cellStyleXfs>
  <cellXfs count="12">
    <xf numFmtId="0" fontId="0" fillId="0" borderId="0" xfId="0"/>
    <xf numFmtId="0" fontId="0" fillId="0" borderId="0" xfId="0" applyAlignment="1">
      <alignment horizontal="right" vertical="center" wrapText="1"/>
    </xf>
    <xf numFmtId="0" fontId="1" fillId="2" borderId="0" xfId="0" applyFont="1" applyFill="1" applyAlignment="1">
      <alignment horizontal="right" vertical="center" wrapText="1"/>
    </xf>
    <xf numFmtId="0" fontId="3" fillId="0" borderId="0" xfId="0" applyFont="1"/>
    <xf numFmtId="0" fontId="4" fillId="3" borderId="0" xfId="0" applyFont="1" applyFill="1" applyAlignment="1">
      <alignment horizontal="center" vertical="center" wrapText="1"/>
    </xf>
    <xf numFmtId="0" fontId="0" fillId="0" borderId="1" xfId="0" applyBorder="1" applyAlignment="1">
      <alignment horizontal="right" vertical="center" wrapText="1"/>
    </xf>
    <xf numFmtId="9" fontId="0" fillId="0" borderId="1" xfId="0" applyNumberFormat="1" applyBorder="1" applyAlignment="1">
      <alignment horizontal="right" vertical="center" wrapText="1"/>
    </xf>
    <xf numFmtId="0" fontId="2" fillId="0" borderId="0" xfId="0" applyFont="1" applyAlignment="1">
      <alignment horizontal="right" vertical="top" wrapText="1"/>
    </xf>
    <xf numFmtId="0" fontId="0" fillId="0" borderId="0" xfId="0" applyAlignment="1">
      <alignment horizontal="right" vertical="top" wrapText="1"/>
    </xf>
    <xf numFmtId="0" fontId="3" fillId="0" borderId="0" xfId="0" applyFont="1" applyAlignment="1">
      <alignment horizontal="right" vertical="top" wrapText="1"/>
    </xf>
    <xf numFmtId="0" fontId="0" fillId="0" borderId="0" xfId="0" applyAlignment="1">
      <alignment horizontal="right"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workbookViewId="0">
      <selection sqref="A1:C1"/>
    </sheetView>
  </sheetViews>
  <sheetFormatPr defaultRowHeight="14.25" x14ac:dyDescent="0.2"/>
  <cols>
    <col min="1" max="1" width="10" customWidth="1"/>
    <col min="2" max="2" width="45" customWidth="1"/>
    <col min="3" max="3" width="20" customWidth="1"/>
  </cols>
  <sheetData>
    <row r="1" spans="1:3" x14ac:dyDescent="0.2">
      <c r="A1" s="10" t="s">
        <v>57</v>
      </c>
      <c r="B1" s="11"/>
      <c r="C1" s="11"/>
    </row>
    <row r="2" spans="1:3" x14ac:dyDescent="0.2">
      <c r="A2" s="1" t="s">
        <v>58</v>
      </c>
      <c r="B2" s="1" t="s">
        <v>59</v>
      </c>
      <c r="C2" s="1" t="s">
        <v>60</v>
      </c>
    </row>
    <row r="3" spans="1:3" x14ac:dyDescent="0.2">
      <c r="A3" s="1">
        <v>1</v>
      </c>
      <c r="B3" s="1" t="s">
        <v>61</v>
      </c>
      <c r="C3" s="1">
        <f>COUNTIF('اطلاعات استان‌ها'!J2:J32,"&lt;&gt;شروع نشده")</f>
        <v>31</v>
      </c>
    </row>
    <row r="4" spans="1:3" x14ac:dyDescent="0.2">
      <c r="A4" s="1">
        <v>2</v>
      </c>
      <c r="B4" s="1" t="s">
        <v>62</v>
      </c>
      <c r="C4" s="1">
        <f>COUNTIF('اطلاعات استان‌ها'!K2:K32,"دارد")</f>
        <v>0</v>
      </c>
    </row>
    <row r="5" spans="1:3" x14ac:dyDescent="0.2">
      <c r="A5" s="1">
        <v>3</v>
      </c>
      <c r="B5" s="1" t="s">
        <v>12</v>
      </c>
      <c r="C5" s="1">
        <f>SUM('اطلاعات استان‌ها'!L2:L32)</f>
        <v>0</v>
      </c>
    </row>
    <row r="6" spans="1:3" x14ac:dyDescent="0.2">
      <c r="A6" s="1">
        <v>4</v>
      </c>
      <c r="B6" s="1" t="s">
        <v>11</v>
      </c>
      <c r="C6" s="1">
        <f>SUM('اطلاعات استان‌ها'!O2:O32)</f>
        <v>0</v>
      </c>
    </row>
    <row r="7" spans="1:3" x14ac:dyDescent="0.2">
      <c r="A7" s="1">
        <v>5</v>
      </c>
      <c r="B7" s="1" t="s">
        <v>63</v>
      </c>
      <c r="C7" s="1">
        <f>SUM('اطلاعات استان‌ها'!N2:N32)</f>
        <v>0</v>
      </c>
    </row>
    <row r="8" spans="1:3" x14ac:dyDescent="0.2">
      <c r="A8" s="1">
        <v>6</v>
      </c>
      <c r="B8" s="1" t="s">
        <v>14</v>
      </c>
      <c r="C8" s="1">
        <f>SUM('اطلاعات استان‌ها'!P2:P32)</f>
        <v>0</v>
      </c>
    </row>
    <row r="9" spans="1:3" x14ac:dyDescent="0.2">
      <c r="A9" s="1">
        <v>7</v>
      </c>
      <c r="B9" s="1" t="s">
        <v>15</v>
      </c>
      <c r="C9" s="1">
        <f>SUM('اطلاعات استان‌ها'!Q2:Q32)</f>
        <v>0</v>
      </c>
    </row>
    <row r="10" spans="1:3" x14ac:dyDescent="0.2">
      <c r="A10" s="1">
        <v>8</v>
      </c>
      <c r="B10" s="1" t="s">
        <v>16</v>
      </c>
      <c r="C10" s="1">
        <f>SUM('اطلاعات استان‌ها'!R2:R32)</f>
        <v>0</v>
      </c>
    </row>
    <row r="11" spans="1:3" x14ac:dyDescent="0.2">
      <c r="A11" s="1">
        <v>9</v>
      </c>
      <c r="B11" s="1" t="s">
        <v>17</v>
      </c>
      <c r="C11" s="1">
        <f>SUM('اطلاعات استان‌ها'!S2:S32)</f>
        <v>0</v>
      </c>
    </row>
    <row r="12" spans="1:3" x14ac:dyDescent="0.2">
      <c r="A12" s="1">
        <v>10</v>
      </c>
      <c r="B12" s="1" t="s">
        <v>64</v>
      </c>
      <c r="C12" s="1">
        <f>SUM('اطلاعات استان‌ها'!T2:T32)</f>
        <v>0</v>
      </c>
    </row>
  </sheetData>
  <mergeCells count="1">
    <mergeCell ref="A1:C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2"/>
  <sheetViews>
    <sheetView rightToLeft="1" tabSelected="1" workbookViewId="0">
      <pane xSplit="1" ySplit="1" topLeftCell="B2" activePane="bottomRight" state="frozen"/>
      <selection pane="topRight"/>
      <selection pane="bottomLeft"/>
      <selection pane="bottomRight" activeCell="C12" sqref="C12"/>
    </sheetView>
  </sheetViews>
  <sheetFormatPr defaultRowHeight="14.25" x14ac:dyDescent="0.2"/>
  <cols>
    <col min="1" max="1" width="16" customWidth="1"/>
    <col min="2" max="7" width="20" customWidth="1"/>
    <col min="8" max="8" width="24" customWidth="1"/>
    <col min="9" max="10" width="16" customWidth="1"/>
    <col min="11" max="11" width="24" customWidth="1"/>
    <col min="12" max="12" width="22" customWidth="1"/>
    <col min="13" max="13" width="20" customWidth="1"/>
    <col min="14" max="14" width="30" customWidth="1"/>
    <col min="15" max="15" width="34" customWidth="1"/>
    <col min="16" max="16" width="25" customWidth="1"/>
    <col min="17" max="17" width="28" customWidth="1"/>
    <col min="18" max="18" width="18" customWidth="1"/>
    <col min="19" max="21" width="30" customWidth="1"/>
    <col min="22" max="22" width="22" customWidth="1"/>
    <col min="23" max="23" width="35" customWidth="1"/>
  </cols>
  <sheetData>
    <row r="1" spans="1:23" ht="15"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row>
    <row r="2" spans="1:23" x14ac:dyDescent="0.2">
      <c r="A2" s="5" t="s">
        <v>23</v>
      </c>
      <c r="B2" s="5" t="s">
        <v>24</v>
      </c>
      <c r="C2" s="5" t="s">
        <v>32</v>
      </c>
      <c r="D2" s="5" t="s">
        <v>25</v>
      </c>
      <c r="E2" s="5" t="s">
        <v>25</v>
      </c>
      <c r="F2" s="5" t="s">
        <v>25</v>
      </c>
      <c r="G2" s="5" t="s">
        <v>25</v>
      </c>
      <c r="H2" s="5" t="s">
        <v>25</v>
      </c>
      <c r="I2" s="6">
        <f t="shared" ref="I2:I32" si="0">COUNTIF(B2:H2,"انجام شد")/7+COUNTIF(B2:H2,"در حال اجرا")/14</f>
        <v>0.21428571428571427</v>
      </c>
      <c r="J2" s="5" t="str">
        <f t="shared" ref="J2:J32" si="1">IF(I2=1,"تکمیل‌شده",IF(I2&gt;0,"در حال اجرا","شروع نشده"))</f>
        <v>در حال اجرا</v>
      </c>
      <c r="K2" s="5"/>
      <c r="L2" s="5"/>
      <c r="M2" s="5"/>
      <c r="N2" s="5"/>
      <c r="O2" s="5"/>
      <c r="P2" s="5"/>
      <c r="Q2" s="5"/>
      <c r="R2" s="5"/>
      <c r="S2" s="5" t="str">
        <f t="shared" ref="S2:S32" si="2">IF(COUNTIF(B2:H2,"در حال اجرا")&gt;0,IF(B2="در حال اجرا","شناسایی فعالان در حال انجام",IF(C2="در حال اجرا","رابط استانی در حال انجام",IF(D2="در حال اجرا","رابط شهرستانی در حال انجام",IF(E2="در حال اجرا","همایش استانی در حال انجام",IF(F2="در حال اجرا","توانمندسازی در حال انجام",IF(G2="در حال اجرا","اقدام و استمرار در حال انجام",IF(H2="در حال اجرا","ارزیابی و توسعه در حال انجام",""))))))),IF(COUNTIF(B2:H2,"انجام شد")=0,"هنوز اقدامی انجام نشده",IF(H2="انجام شد","ارزیابی و توسعه انجام شد",IF(G2="انجام شد","اقدام و استمرار انجام شد",IF(F2="انجام شد","توانمندسازی انجام شد",IF(E2="انجام شد","همایش استانی انجام شد",IF(D2="انجام شد","رابط شهرستانی انجام شد",IF(C2="انجام شد","رابط استانی انجام شد",IF(B2="انجام شد","شناسایی فعالان انجام شد","")))))))))</f>
        <v>رابط استانی در حال انجام</v>
      </c>
      <c r="T2" s="5" t="str">
        <f t="shared" ref="T2:T32" si="3">IF(B2&lt;&gt;"انجام شد","شناسایی فعالان"&amp;IF(B2="در حال اجرا"," تکمیل شود"," آغاز شود"),IF(C2&lt;&gt;"انجام شد","رابط استانی"&amp;IF(C2="در حال اجرا"," تکمیل شود"," آغاز شود"),IF(D2&lt;&gt;"انجام شد","رابط شهرستانی"&amp;IF(D2="در حال اجرا"," تکمیل شود"," آغاز شود"),IF(E2&lt;&gt;"انجام شد","همایش استانی"&amp;IF(E2="در حال اجرا"," تکمیل شود"," آغاز شود"),IF(F2&lt;&gt;"انجام شد","توانمندسازی"&amp;IF(F2="در حال اجرا"," تکمیل شود"," آغاز شود"),IF(G2&lt;&gt;"انجام شد","اقدام و استمرار"&amp;IF(G2="در حال اجرا"," تکمیل شود"," آغاز شود"),IF(H2&lt;&gt;"انجام شد","ارزیابی و توسعه"&amp;IF(H2="در حال اجرا"," تکمیل شود"," آغاز شود"),"همه مراحل انجام شده است")))))))</f>
        <v>رابط استانی تکمیل شود</v>
      </c>
      <c r="U2" s="5"/>
      <c r="V2" s="5"/>
      <c r="W2" s="5"/>
    </row>
    <row r="3" spans="1:23" x14ac:dyDescent="0.2">
      <c r="A3" s="5" t="s">
        <v>26</v>
      </c>
      <c r="B3" s="5" t="s">
        <v>24</v>
      </c>
      <c r="C3" s="5" t="s">
        <v>25</v>
      </c>
      <c r="D3" s="5" t="s">
        <v>25</v>
      </c>
      <c r="E3" s="5" t="s">
        <v>25</v>
      </c>
      <c r="F3" s="5" t="s">
        <v>25</v>
      </c>
      <c r="G3" s="5" t="s">
        <v>25</v>
      </c>
      <c r="H3" s="5" t="s">
        <v>25</v>
      </c>
      <c r="I3" s="6">
        <f t="shared" si="0"/>
        <v>0.14285714285714285</v>
      </c>
      <c r="J3" s="5" t="str">
        <f t="shared" si="1"/>
        <v>در حال اجرا</v>
      </c>
      <c r="K3" s="5"/>
      <c r="L3" s="5"/>
      <c r="M3" s="5"/>
      <c r="N3" s="5"/>
      <c r="O3" s="5"/>
      <c r="P3" s="5"/>
      <c r="Q3" s="5"/>
      <c r="R3" s="5"/>
      <c r="S3" s="5" t="str">
        <f t="shared" si="2"/>
        <v>شناسایی فعالان انجام شد</v>
      </c>
      <c r="T3" s="5" t="str">
        <f t="shared" si="3"/>
        <v>رابط استانی آغاز شود</v>
      </c>
      <c r="U3" s="5"/>
      <c r="V3" s="5"/>
      <c r="W3" s="5"/>
    </row>
    <row r="4" spans="1:23" x14ac:dyDescent="0.2">
      <c r="A4" s="5" t="s">
        <v>27</v>
      </c>
      <c r="B4" s="5" t="s">
        <v>24</v>
      </c>
      <c r="C4" s="5" t="s">
        <v>32</v>
      </c>
      <c r="D4" s="5" t="s">
        <v>25</v>
      </c>
      <c r="E4" s="5" t="s">
        <v>25</v>
      </c>
      <c r="F4" s="5" t="s">
        <v>25</v>
      </c>
      <c r="G4" s="5" t="s">
        <v>25</v>
      </c>
      <c r="H4" s="5" t="s">
        <v>25</v>
      </c>
      <c r="I4" s="6">
        <f t="shared" si="0"/>
        <v>0.21428571428571427</v>
      </c>
      <c r="J4" s="5" t="str">
        <f t="shared" si="1"/>
        <v>در حال اجرا</v>
      </c>
      <c r="K4" s="5"/>
      <c r="L4" s="5"/>
      <c r="M4" s="5"/>
      <c r="N4" s="5"/>
      <c r="O4" s="5"/>
      <c r="P4" s="5"/>
      <c r="Q4" s="5"/>
      <c r="R4" s="5"/>
      <c r="S4" s="5" t="str">
        <f t="shared" si="2"/>
        <v>رابط استانی در حال انجام</v>
      </c>
      <c r="T4" s="5" t="str">
        <f t="shared" si="3"/>
        <v>رابط استانی تکمیل شود</v>
      </c>
      <c r="U4" s="5"/>
      <c r="V4" s="5"/>
      <c r="W4" s="5"/>
    </row>
    <row r="5" spans="1:23" x14ac:dyDescent="0.2">
      <c r="A5" s="5" t="s">
        <v>28</v>
      </c>
      <c r="B5" s="5" t="s">
        <v>24</v>
      </c>
      <c r="C5" s="5" t="s">
        <v>32</v>
      </c>
      <c r="D5" s="5" t="s">
        <v>25</v>
      </c>
      <c r="E5" s="5" t="s">
        <v>25</v>
      </c>
      <c r="F5" s="5" t="s">
        <v>25</v>
      </c>
      <c r="G5" s="5" t="s">
        <v>25</v>
      </c>
      <c r="H5" s="5" t="s">
        <v>25</v>
      </c>
      <c r="I5" s="6">
        <f t="shared" si="0"/>
        <v>0.21428571428571427</v>
      </c>
      <c r="J5" s="5" t="str">
        <f t="shared" si="1"/>
        <v>در حال اجرا</v>
      </c>
      <c r="K5" s="5"/>
      <c r="L5" s="5"/>
      <c r="M5" s="5"/>
      <c r="N5" s="5"/>
      <c r="O5" s="5"/>
      <c r="P5" s="5"/>
      <c r="Q5" s="5"/>
      <c r="R5" s="5"/>
      <c r="S5" s="5" t="str">
        <f t="shared" si="2"/>
        <v>رابط استانی در حال انجام</v>
      </c>
      <c r="T5" s="5" t="str">
        <f t="shared" si="3"/>
        <v>رابط استانی تکمیل شود</v>
      </c>
      <c r="U5" s="5"/>
      <c r="V5" s="5"/>
      <c r="W5" s="5"/>
    </row>
    <row r="6" spans="1:23" x14ac:dyDescent="0.2">
      <c r="A6" s="5" t="s">
        <v>29</v>
      </c>
      <c r="B6" s="5" t="s">
        <v>24</v>
      </c>
      <c r="C6" s="5" t="s">
        <v>32</v>
      </c>
      <c r="D6" s="5" t="s">
        <v>25</v>
      </c>
      <c r="E6" s="5" t="s">
        <v>25</v>
      </c>
      <c r="F6" s="5" t="s">
        <v>25</v>
      </c>
      <c r="G6" s="5" t="s">
        <v>25</v>
      </c>
      <c r="H6" s="5" t="s">
        <v>25</v>
      </c>
      <c r="I6" s="6">
        <f t="shared" si="0"/>
        <v>0.21428571428571427</v>
      </c>
      <c r="J6" s="5" t="str">
        <f t="shared" si="1"/>
        <v>در حال اجرا</v>
      </c>
      <c r="K6" s="5"/>
      <c r="L6" s="5"/>
      <c r="M6" s="5"/>
      <c r="N6" s="5"/>
      <c r="O6" s="5"/>
      <c r="P6" s="5"/>
      <c r="Q6" s="5"/>
      <c r="R6" s="5"/>
      <c r="S6" s="5" t="str">
        <f t="shared" si="2"/>
        <v>رابط استانی در حال انجام</v>
      </c>
      <c r="T6" s="5" t="str">
        <f t="shared" si="3"/>
        <v>رابط استانی تکمیل شود</v>
      </c>
      <c r="U6" s="5"/>
      <c r="V6" s="5"/>
      <c r="W6" s="5"/>
    </row>
    <row r="7" spans="1:23" x14ac:dyDescent="0.2">
      <c r="A7" s="5" t="s">
        <v>30</v>
      </c>
      <c r="B7" s="5" t="s">
        <v>24</v>
      </c>
      <c r="C7" s="5" t="s">
        <v>32</v>
      </c>
      <c r="D7" s="5" t="s">
        <v>25</v>
      </c>
      <c r="E7" s="5" t="s">
        <v>25</v>
      </c>
      <c r="F7" s="5" t="s">
        <v>25</v>
      </c>
      <c r="G7" s="5" t="s">
        <v>25</v>
      </c>
      <c r="H7" s="5" t="s">
        <v>25</v>
      </c>
      <c r="I7" s="6">
        <f t="shared" si="0"/>
        <v>0.21428571428571427</v>
      </c>
      <c r="J7" s="5" t="str">
        <f t="shared" si="1"/>
        <v>در حال اجرا</v>
      </c>
      <c r="K7" s="5"/>
      <c r="L7" s="5"/>
      <c r="M7" s="5"/>
      <c r="N7" s="5"/>
      <c r="O7" s="5"/>
      <c r="P7" s="5"/>
      <c r="Q7" s="5"/>
      <c r="R7" s="5"/>
      <c r="S7" s="5" t="str">
        <f t="shared" si="2"/>
        <v>رابط استانی در حال انجام</v>
      </c>
      <c r="T7" s="5" t="str">
        <f t="shared" si="3"/>
        <v>رابط استانی تکمیل شود</v>
      </c>
      <c r="U7" s="5"/>
      <c r="V7" s="5"/>
      <c r="W7" s="5"/>
    </row>
    <row r="8" spans="1:23" x14ac:dyDescent="0.2">
      <c r="A8" s="5" t="s">
        <v>31</v>
      </c>
      <c r="B8" s="5" t="s">
        <v>24</v>
      </c>
      <c r="C8" s="5" t="s">
        <v>32</v>
      </c>
      <c r="D8" s="5" t="s">
        <v>25</v>
      </c>
      <c r="E8" s="5" t="s">
        <v>25</v>
      </c>
      <c r="F8" s="5" t="s">
        <v>25</v>
      </c>
      <c r="G8" s="5" t="s">
        <v>25</v>
      </c>
      <c r="H8" s="5" t="s">
        <v>25</v>
      </c>
      <c r="I8" s="6">
        <f t="shared" si="0"/>
        <v>0.21428571428571427</v>
      </c>
      <c r="J8" s="5" t="str">
        <f t="shared" si="1"/>
        <v>در حال اجرا</v>
      </c>
      <c r="K8" s="5"/>
      <c r="L8" s="5"/>
      <c r="M8" s="5"/>
      <c r="N8" s="5"/>
      <c r="O8" s="5"/>
      <c r="P8" s="5"/>
      <c r="Q8" s="5"/>
      <c r="R8" s="5"/>
      <c r="S8" s="5" t="str">
        <f t="shared" si="2"/>
        <v>رابط استانی در حال انجام</v>
      </c>
      <c r="T8" s="5" t="str">
        <f t="shared" si="3"/>
        <v>رابط استانی تکمیل شود</v>
      </c>
      <c r="U8" s="5"/>
      <c r="V8" s="5"/>
      <c r="W8" s="5"/>
    </row>
    <row r="9" spans="1:23" x14ac:dyDescent="0.2">
      <c r="A9" s="5" t="s">
        <v>33</v>
      </c>
      <c r="B9" s="5" t="s">
        <v>24</v>
      </c>
      <c r="C9" s="5" t="s">
        <v>25</v>
      </c>
      <c r="D9" s="5" t="s">
        <v>25</v>
      </c>
      <c r="E9" s="5" t="s">
        <v>25</v>
      </c>
      <c r="F9" s="5" t="s">
        <v>25</v>
      </c>
      <c r="G9" s="5" t="s">
        <v>25</v>
      </c>
      <c r="H9" s="5" t="s">
        <v>25</v>
      </c>
      <c r="I9" s="6">
        <f t="shared" si="0"/>
        <v>0.14285714285714285</v>
      </c>
      <c r="J9" s="5" t="str">
        <f t="shared" si="1"/>
        <v>در حال اجرا</v>
      </c>
      <c r="K9" s="5"/>
      <c r="L9" s="5"/>
      <c r="M9" s="5"/>
      <c r="N9" s="5"/>
      <c r="O9" s="5"/>
      <c r="P9" s="5"/>
      <c r="Q9" s="5"/>
      <c r="R9" s="5"/>
      <c r="S9" s="5" t="str">
        <f t="shared" si="2"/>
        <v>شناسایی فعالان انجام شد</v>
      </c>
      <c r="T9" s="5" t="str">
        <f t="shared" si="3"/>
        <v>رابط استانی آغاز شود</v>
      </c>
      <c r="U9" s="5"/>
      <c r="V9" s="5"/>
      <c r="W9" s="5"/>
    </row>
    <row r="10" spans="1:23" x14ac:dyDescent="0.2">
      <c r="A10" s="5" t="s">
        <v>34</v>
      </c>
      <c r="B10" s="5" t="s">
        <v>24</v>
      </c>
      <c r="C10" s="5" t="s">
        <v>32</v>
      </c>
      <c r="D10" s="5" t="s">
        <v>25</v>
      </c>
      <c r="E10" s="5" t="s">
        <v>25</v>
      </c>
      <c r="F10" s="5" t="s">
        <v>25</v>
      </c>
      <c r="G10" s="5" t="s">
        <v>25</v>
      </c>
      <c r="H10" s="5" t="s">
        <v>25</v>
      </c>
      <c r="I10" s="6">
        <f t="shared" si="0"/>
        <v>0.21428571428571427</v>
      </c>
      <c r="J10" s="5" t="str">
        <f t="shared" si="1"/>
        <v>در حال اجرا</v>
      </c>
      <c r="K10" s="5"/>
      <c r="L10" s="5"/>
      <c r="M10" s="5"/>
      <c r="N10" s="5"/>
      <c r="O10" s="5"/>
      <c r="P10" s="5"/>
      <c r="Q10" s="5"/>
      <c r="R10" s="5"/>
      <c r="S10" s="5" t="str">
        <f t="shared" si="2"/>
        <v>رابط استانی در حال انجام</v>
      </c>
      <c r="T10" s="5" t="str">
        <f t="shared" si="3"/>
        <v>رابط استانی تکمیل شود</v>
      </c>
      <c r="U10" s="5"/>
      <c r="V10" s="5"/>
      <c r="W10" s="5"/>
    </row>
    <row r="11" spans="1:23" x14ac:dyDescent="0.2">
      <c r="A11" s="5" t="s">
        <v>35</v>
      </c>
      <c r="B11" s="5" t="s">
        <v>24</v>
      </c>
      <c r="C11" s="5" t="s">
        <v>32</v>
      </c>
      <c r="D11" s="5" t="s">
        <v>25</v>
      </c>
      <c r="E11" s="5" t="s">
        <v>25</v>
      </c>
      <c r="F11" s="5" t="s">
        <v>25</v>
      </c>
      <c r="G11" s="5" t="s">
        <v>25</v>
      </c>
      <c r="H11" s="5" t="s">
        <v>25</v>
      </c>
      <c r="I11" s="6">
        <f t="shared" si="0"/>
        <v>0.21428571428571427</v>
      </c>
      <c r="J11" s="5" t="str">
        <f t="shared" si="1"/>
        <v>در حال اجرا</v>
      </c>
      <c r="K11" s="5"/>
      <c r="L11" s="5"/>
      <c r="M11" s="5"/>
      <c r="N11" s="5"/>
      <c r="O11" s="5"/>
      <c r="P11" s="5"/>
      <c r="Q11" s="5"/>
      <c r="R11" s="5"/>
      <c r="S11" s="5" t="str">
        <f t="shared" si="2"/>
        <v>رابط استانی در حال انجام</v>
      </c>
      <c r="T11" s="5" t="str">
        <f t="shared" si="3"/>
        <v>رابط استانی تکمیل شود</v>
      </c>
      <c r="U11" s="5"/>
      <c r="V11" s="5"/>
      <c r="W11" s="5"/>
    </row>
    <row r="12" spans="1:23" x14ac:dyDescent="0.2">
      <c r="A12" s="5" t="s">
        <v>36</v>
      </c>
      <c r="B12" s="5" t="s">
        <v>24</v>
      </c>
      <c r="C12" s="5" t="s">
        <v>24</v>
      </c>
      <c r="D12" s="5" t="s">
        <v>25</v>
      </c>
      <c r="E12" s="5" t="s">
        <v>25</v>
      </c>
      <c r="F12" s="5" t="s">
        <v>25</v>
      </c>
      <c r="G12" s="5" t="s">
        <v>25</v>
      </c>
      <c r="H12" s="5" t="s">
        <v>25</v>
      </c>
      <c r="I12" s="6">
        <f t="shared" si="0"/>
        <v>0.2857142857142857</v>
      </c>
      <c r="J12" s="5" t="str">
        <f t="shared" si="1"/>
        <v>در حال اجرا</v>
      </c>
      <c r="K12" s="5"/>
      <c r="L12" s="5"/>
      <c r="M12" s="5"/>
      <c r="N12" s="5"/>
      <c r="O12" s="5"/>
      <c r="P12" s="5"/>
      <c r="Q12" s="5"/>
      <c r="R12" s="5"/>
      <c r="S12" s="5" t="str">
        <f t="shared" si="2"/>
        <v>رابط استانی انجام شد</v>
      </c>
      <c r="T12" s="5" t="str">
        <f t="shared" si="3"/>
        <v>رابط شهرستانی آغاز شود</v>
      </c>
      <c r="U12" s="5"/>
      <c r="V12" s="5"/>
      <c r="W12" s="5"/>
    </row>
    <row r="13" spans="1:23" x14ac:dyDescent="0.2">
      <c r="A13" s="5" t="s">
        <v>37</v>
      </c>
      <c r="B13" s="5" t="s">
        <v>24</v>
      </c>
      <c r="C13" s="5" t="s">
        <v>32</v>
      </c>
      <c r="D13" s="5" t="s">
        <v>25</v>
      </c>
      <c r="E13" s="5" t="s">
        <v>25</v>
      </c>
      <c r="F13" s="5" t="s">
        <v>25</v>
      </c>
      <c r="G13" s="5" t="s">
        <v>25</v>
      </c>
      <c r="H13" s="5" t="s">
        <v>25</v>
      </c>
      <c r="I13" s="6">
        <f t="shared" si="0"/>
        <v>0.21428571428571427</v>
      </c>
      <c r="J13" s="5" t="str">
        <f t="shared" si="1"/>
        <v>در حال اجرا</v>
      </c>
      <c r="K13" s="5"/>
      <c r="L13" s="5"/>
      <c r="M13" s="5"/>
      <c r="N13" s="5"/>
      <c r="O13" s="5"/>
      <c r="P13" s="5"/>
      <c r="Q13" s="5"/>
      <c r="R13" s="5"/>
      <c r="S13" s="5" t="str">
        <f t="shared" si="2"/>
        <v>رابط استانی در حال انجام</v>
      </c>
      <c r="T13" s="5" t="str">
        <f t="shared" si="3"/>
        <v>رابط استانی تکمیل شود</v>
      </c>
      <c r="U13" s="5"/>
      <c r="V13" s="5"/>
      <c r="W13" s="5"/>
    </row>
    <row r="14" spans="1:23" x14ac:dyDescent="0.2">
      <c r="A14" s="5" t="s">
        <v>38</v>
      </c>
      <c r="B14" s="5" t="s">
        <v>24</v>
      </c>
      <c r="C14" s="5" t="s">
        <v>32</v>
      </c>
      <c r="D14" s="5" t="s">
        <v>25</v>
      </c>
      <c r="E14" s="5" t="s">
        <v>25</v>
      </c>
      <c r="F14" s="5" t="s">
        <v>25</v>
      </c>
      <c r="G14" s="5" t="s">
        <v>25</v>
      </c>
      <c r="H14" s="5" t="s">
        <v>25</v>
      </c>
      <c r="I14" s="6">
        <f t="shared" si="0"/>
        <v>0.21428571428571427</v>
      </c>
      <c r="J14" s="5" t="str">
        <f t="shared" si="1"/>
        <v>در حال اجرا</v>
      </c>
      <c r="K14" s="5"/>
      <c r="L14" s="5"/>
      <c r="M14" s="5"/>
      <c r="N14" s="5"/>
      <c r="O14" s="5"/>
      <c r="P14" s="5"/>
      <c r="Q14" s="5"/>
      <c r="R14" s="5"/>
      <c r="S14" s="5" t="str">
        <f t="shared" si="2"/>
        <v>رابط استانی در حال انجام</v>
      </c>
      <c r="T14" s="5" t="str">
        <f t="shared" si="3"/>
        <v>رابط استانی تکمیل شود</v>
      </c>
      <c r="U14" s="5"/>
      <c r="V14" s="5"/>
      <c r="W14" s="5"/>
    </row>
    <row r="15" spans="1:23" x14ac:dyDescent="0.2">
      <c r="A15" s="5" t="s">
        <v>39</v>
      </c>
      <c r="B15" s="5" t="s">
        <v>24</v>
      </c>
      <c r="C15" s="5" t="s">
        <v>24</v>
      </c>
      <c r="D15" s="5" t="s">
        <v>25</v>
      </c>
      <c r="E15" s="5" t="s">
        <v>25</v>
      </c>
      <c r="F15" s="5" t="s">
        <v>25</v>
      </c>
      <c r="G15" s="5" t="s">
        <v>25</v>
      </c>
      <c r="H15" s="5" t="s">
        <v>25</v>
      </c>
      <c r="I15" s="6">
        <f t="shared" si="0"/>
        <v>0.2857142857142857</v>
      </c>
      <c r="J15" s="5" t="str">
        <f t="shared" si="1"/>
        <v>در حال اجرا</v>
      </c>
      <c r="K15" s="5"/>
      <c r="L15" s="5"/>
      <c r="M15" s="5"/>
      <c r="N15" s="5"/>
      <c r="O15" s="5"/>
      <c r="P15" s="5"/>
      <c r="Q15" s="5"/>
      <c r="R15" s="5"/>
      <c r="S15" s="5" t="str">
        <f t="shared" si="2"/>
        <v>رابط استانی انجام شد</v>
      </c>
      <c r="T15" s="5" t="str">
        <f t="shared" si="3"/>
        <v>رابط شهرستانی آغاز شود</v>
      </c>
      <c r="U15" s="5"/>
      <c r="V15" s="5"/>
      <c r="W15" s="5"/>
    </row>
    <row r="16" spans="1:23" x14ac:dyDescent="0.2">
      <c r="A16" s="5" t="s">
        <v>40</v>
      </c>
      <c r="B16" s="5" t="s">
        <v>24</v>
      </c>
      <c r="C16" s="5" t="s">
        <v>32</v>
      </c>
      <c r="D16" s="5" t="s">
        <v>25</v>
      </c>
      <c r="E16" s="5" t="s">
        <v>25</v>
      </c>
      <c r="F16" s="5" t="s">
        <v>25</v>
      </c>
      <c r="G16" s="5" t="s">
        <v>25</v>
      </c>
      <c r="H16" s="5" t="s">
        <v>25</v>
      </c>
      <c r="I16" s="6">
        <f t="shared" si="0"/>
        <v>0.21428571428571427</v>
      </c>
      <c r="J16" s="5" t="str">
        <f t="shared" si="1"/>
        <v>در حال اجرا</v>
      </c>
      <c r="K16" s="5"/>
      <c r="L16" s="5"/>
      <c r="M16" s="5"/>
      <c r="N16" s="5"/>
      <c r="O16" s="5"/>
      <c r="P16" s="5"/>
      <c r="Q16" s="5"/>
      <c r="R16" s="5"/>
      <c r="S16" s="5" t="str">
        <f t="shared" si="2"/>
        <v>رابط استانی در حال انجام</v>
      </c>
      <c r="T16" s="5" t="str">
        <f t="shared" si="3"/>
        <v>رابط استانی تکمیل شود</v>
      </c>
      <c r="U16" s="5"/>
      <c r="V16" s="5"/>
      <c r="W16" s="5"/>
    </row>
    <row r="17" spans="1:23" x14ac:dyDescent="0.2">
      <c r="A17" s="5" t="s">
        <v>41</v>
      </c>
      <c r="B17" s="5" t="s">
        <v>24</v>
      </c>
      <c r="C17" s="5" t="s">
        <v>32</v>
      </c>
      <c r="D17" s="5" t="s">
        <v>25</v>
      </c>
      <c r="E17" s="5" t="s">
        <v>25</v>
      </c>
      <c r="F17" s="5" t="s">
        <v>25</v>
      </c>
      <c r="G17" s="5" t="s">
        <v>25</v>
      </c>
      <c r="H17" s="5" t="s">
        <v>25</v>
      </c>
      <c r="I17" s="6">
        <f t="shared" si="0"/>
        <v>0.21428571428571427</v>
      </c>
      <c r="J17" s="5" t="str">
        <f t="shared" si="1"/>
        <v>در حال اجرا</v>
      </c>
      <c r="K17" s="5"/>
      <c r="L17" s="5"/>
      <c r="M17" s="5"/>
      <c r="N17" s="5"/>
      <c r="O17" s="5"/>
      <c r="P17" s="5"/>
      <c r="Q17" s="5"/>
      <c r="R17" s="5"/>
      <c r="S17" s="5" t="str">
        <f t="shared" si="2"/>
        <v>رابط استانی در حال انجام</v>
      </c>
      <c r="T17" s="5" t="str">
        <f t="shared" si="3"/>
        <v>رابط استانی تکمیل شود</v>
      </c>
      <c r="U17" s="5"/>
      <c r="V17" s="5"/>
      <c r="W17" s="5"/>
    </row>
    <row r="18" spans="1:23" x14ac:dyDescent="0.2">
      <c r="A18" s="5" t="s">
        <v>42</v>
      </c>
      <c r="B18" s="5" t="s">
        <v>24</v>
      </c>
      <c r="C18" s="5" t="s">
        <v>32</v>
      </c>
      <c r="D18" s="5" t="s">
        <v>25</v>
      </c>
      <c r="E18" s="5" t="s">
        <v>25</v>
      </c>
      <c r="F18" s="5" t="s">
        <v>25</v>
      </c>
      <c r="G18" s="5" t="s">
        <v>25</v>
      </c>
      <c r="H18" s="5" t="s">
        <v>25</v>
      </c>
      <c r="I18" s="6">
        <f t="shared" si="0"/>
        <v>0.21428571428571427</v>
      </c>
      <c r="J18" s="5" t="str">
        <f t="shared" si="1"/>
        <v>در حال اجرا</v>
      </c>
      <c r="K18" s="5"/>
      <c r="L18" s="5"/>
      <c r="M18" s="5"/>
      <c r="N18" s="5"/>
      <c r="O18" s="5"/>
      <c r="P18" s="5"/>
      <c r="Q18" s="5"/>
      <c r="R18" s="5"/>
      <c r="S18" s="5" t="str">
        <f t="shared" si="2"/>
        <v>رابط استانی در حال انجام</v>
      </c>
      <c r="T18" s="5" t="str">
        <f t="shared" si="3"/>
        <v>رابط استانی تکمیل شود</v>
      </c>
      <c r="U18" s="5"/>
      <c r="V18" s="5"/>
      <c r="W18" s="5"/>
    </row>
    <row r="19" spans="1:23" x14ac:dyDescent="0.2">
      <c r="A19" s="5" t="s">
        <v>43</v>
      </c>
      <c r="B19" s="5" t="s">
        <v>24</v>
      </c>
      <c r="C19" s="5" t="s">
        <v>32</v>
      </c>
      <c r="D19" s="5" t="s">
        <v>25</v>
      </c>
      <c r="E19" s="5" t="s">
        <v>25</v>
      </c>
      <c r="F19" s="5" t="s">
        <v>25</v>
      </c>
      <c r="G19" s="5" t="s">
        <v>25</v>
      </c>
      <c r="H19" s="5" t="s">
        <v>25</v>
      </c>
      <c r="I19" s="6">
        <f t="shared" si="0"/>
        <v>0.21428571428571427</v>
      </c>
      <c r="J19" s="5" t="str">
        <f t="shared" si="1"/>
        <v>در حال اجرا</v>
      </c>
      <c r="K19" s="5"/>
      <c r="L19" s="5"/>
      <c r="M19" s="5"/>
      <c r="N19" s="5"/>
      <c r="O19" s="5"/>
      <c r="P19" s="5"/>
      <c r="Q19" s="5"/>
      <c r="R19" s="5"/>
      <c r="S19" s="5" t="str">
        <f t="shared" si="2"/>
        <v>رابط استانی در حال انجام</v>
      </c>
      <c r="T19" s="5" t="str">
        <f t="shared" si="3"/>
        <v>رابط استانی تکمیل شود</v>
      </c>
      <c r="U19" s="5"/>
      <c r="V19" s="5"/>
      <c r="W19" s="5"/>
    </row>
    <row r="20" spans="1:23" x14ac:dyDescent="0.2">
      <c r="A20" s="5" t="s">
        <v>44</v>
      </c>
      <c r="B20" s="5" t="s">
        <v>24</v>
      </c>
      <c r="C20" s="5" t="s">
        <v>32</v>
      </c>
      <c r="D20" s="5" t="s">
        <v>25</v>
      </c>
      <c r="E20" s="5" t="s">
        <v>25</v>
      </c>
      <c r="F20" s="5" t="s">
        <v>25</v>
      </c>
      <c r="G20" s="5" t="s">
        <v>25</v>
      </c>
      <c r="H20" s="5" t="s">
        <v>25</v>
      </c>
      <c r="I20" s="6">
        <f t="shared" si="0"/>
        <v>0.21428571428571427</v>
      </c>
      <c r="J20" s="5" t="str">
        <f t="shared" si="1"/>
        <v>در حال اجرا</v>
      </c>
      <c r="K20" s="5"/>
      <c r="L20" s="5"/>
      <c r="M20" s="5"/>
      <c r="N20" s="5"/>
      <c r="O20" s="5"/>
      <c r="P20" s="5"/>
      <c r="Q20" s="5"/>
      <c r="R20" s="5"/>
      <c r="S20" s="5" t="str">
        <f t="shared" si="2"/>
        <v>رابط استانی در حال انجام</v>
      </c>
      <c r="T20" s="5" t="str">
        <f t="shared" si="3"/>
        <v>رابط استانی تکمیل شود</v>
      </c>
      <c r="U20" s="5"/>
      <c r="V20" s="5"/>
      <c r="W20" s="5"/>
    </row>
    <row r="21" spans="1:23" x14ac:dyDescent="0.2">
      <c r="A21" s="5" t="s">
        <v>45</v>
      </c>
      <c r="B21" s="5" t="s">
        <v>24</v>
      </c>
      <c r="C21" s="5" t="s">
        <v>32</v>
      </c>
      <c r="D21" s="5" t="s">
        <v>25</v>
      </c>
      <c r="E21" s="5" t="s">
        <v>25</v>
      </c>
      <c r="F21" s="5" t="s">
        <v>25</v>
      </c>
      <c r="G21" s="5" t="s">
        <v>25</v>
      </c>
      <c r="H21" s="5" t="s">
        <v>25</v>
      </c>
      <c r="I21" s="6">
        <f t="shared" si="0"/>
        <v>0.21428571428571427</v>
      </c>
      <c r="J21" s="5" t="str">
        <f t="shared" si="1"/>
        <v>در حال اجرا</v>
      </c>
      <c r="K21" s="5"/>
      <c r="L21" s="5"/>
      <c r="M21" s="5"/>
      <c r="N21" s="5"/>
      <c r="O21" s="5"/>
      <c r="P21" s="5"/>
      <c r="Q21" s="5"/>
      <c r="R21" s="5"/>
      <c r="S21" s="5" t="str">
        <f t="shared" si="2"/>
        <v>رابط استانی در حال انجام</v>
      </c>
      <c r="T21" s="5" t="str">
        <f t="shared" si="3"/>
        <v>رابط استانی تکمیل شود</v>
      </c>
      <c r="U21" s="5"/>
      <c r="V21" s="5"/>
      <c r="W21" s="5"/>
    </row>
    <row r="22" spans="1:23" x14ac:dyDescent="0.2">
      <c r="A22" s="5" t="s">
        <v>46</v>
      </c>
      <c r="B22" s="5" t="s">
        <v>24</v>
      </c>
      <c r="C22" s="5" t="s">
        <v>32</v>
      </c>
      <c r="D22" s="5" t="s">
        <v>25</v>
      </c>
      <c r="E22" s="5" t="s">
        <v>25</v>
      </c>
      <c r="F22" s="5" t="s">
        <v>25</v>
      </c>
      <c r="G22" s="5" t="s">
        <v>25</v>
      </c>
      <c r="H22" s="5" t="s">
        <v>25</v>
      </c>
      <c r="I22" s="6">
        <f t="shared" si="0"/>
        <v>0.21428571428571427</v>
      </c>
      <c r="J22" s="5" t="str">
        <f t="shared" si="1"/>
        <v>در حال اجرا</v>
      </c>
      <c r="K22" s="5"/>
      <c r="L22" s="5"/>
      <c r="M22" s="5"/>
      <c r="N22" s="5"/>
      <c r="O22" s="5"/>
      <c r="P22" s="5"/>
      <c r="Q22" s="5"/>
      <c r="R22" s="5"/>
      <c r="S22" s="5" t="str">
        <f t="shared" si="2"/>
        <v>رابط استانی در حال انجام</v>
      </c>
      <c r="T22" s="5" t="str">
        <f t="shared" si="3"/>
        <v>رابط استانی تکمیل شود</v>
      </c>
      <c r="U22" s="5"/>
      <c r="V22" s="5"/>
      <c r="W22" s="5"/>
    </row>
    <row r="23" spans="1:23" x14ac:dyDescent="0.2">
      <c r="A23" s="5" t="s">
        <v>47</v>
      </c>
      <c r="B23" s="5" t="s">
        <v>24</v>
      </c>
      <c r="C23" s="5" t="s">
        <v>32</v>
      </c>
      <c r="D23" s="5" t="s">
        <v>25</v>
      </c>
      <c r="E23" s="5" t="s">
        <v>25</v>
      </c>
      <c r="F23" s="5" t="s">
        <v>25</v>
      </c>
      <c r="G23" s="5" t="s">
        <v>25</v>
      </c>
      <c r="H23" s="5" t="s">
        <v>25</v>
      </c>
      <c r="I23" s="6">
        <f t="shared" si="0"/>
        <v>0.21428571428571427</v>
      </c>
      <c r="J23" s="5" t="str">
        <f t="shared" si="1"/>
        <v>در حال اجرا</v>
      </c>
      <c r="K23" s="5"/>
      <c r="L23" s="5"/>
      <c r="M23" s="5"/>
      <c r="N23" s="5"/>
      <c r="O23" s="5"/>
      <c r="P23" s="5"/>
      <c r="Q23" s="5"/>
      <c r="R23" s="5"/>
      <c r="S23" s="5" t="str">
        <f t="shared" si="2"/>
        <v>رابط استانی در حال انجام</v>
      </c>
      <c r="T23" s="5" t="str">
        <f t="shared" si="3"/>
        <v>رابط استانی تکمیل شود</v>
      </c>
      <c r="U23" s="5"/>
      <c r="V23" s="5"/>
      <c r="W23" s="5"/>
    </row>
    <row r="24" spans="1:23" x14ac:dyDescent="0.2">
      <c r="A24" s="5" t="s">
        <v>48</v>
      </c>
      <c r="B24" s="5" t="s">
        <v>24</v>
      </c>
      <c r="C24" s="5" t="s">
        <v>32</v>
      </c>
      <c r="D24" s="5" t="s">
        <v>25</v>
      </c>
      <c r="E24" s="5" t="s">
        <v>25</v>
      </c>
      <c r="F24" s="5" t="s">
        <v>25</v>
      </c>
      <c r="G24" s="5" t="s">
        <v>25</v>
      </c>
      <c r="H24" s="5" t="s">
        <v>25</v>
      </c>
      <c r="I24" s="6">
        <f t="shared" si="0"/>
        <v>0.21428571428571427</v>
      </c>
      <c r="J24" s="5" t="str">
        <f t="shared" si="1"/>
        <v>در حال اجرا</v>
      </c>
      <c r="K24" s="5"/>
      <c r="L24" s="5"/>
      <c r="M24" s="5"/>
      <c r="N24" s="5"/>
      <c r="O24" s="5"/>
      <c r="P24" s="5"/>
      <c r="Q24" s="5"/>
      <c r="R24" s="5"/>
      <c r="S24" s="5" t="str">
        <f t="shared" si="2"/>
        <v>رابط استانی در حال انجام</v>
      </c>
      <c r="T24" s="5" t="str">
        <f t="shared" si="3"/>
        <v>رابط استانی تکمیل شود</v>
      </c>
      <c r="U24" s="5"/>
      <c r="V24" s="5"/>
      <c r="W24" s="5"/>
    </row>
    <row r="25" spans="1:23" x14ac:dyDescent="0.2">
      <c r="A25" s="5" t="s">
        <v>49</v>
      </c>
      <c r="B25" s="5" t="s">
        <v>24</v>
      </c>
      <c r="C25" s="5" t="s">
        <v>32</v>
      </c>
      <c r="D25" s="5" t="s">
        <v>25</v>
      </c>
      <c r="E25" s="5" t="s">
        <v>25</v>
      </c>
      <c r="F25" s="5" t="s">
        <v>25</v>
      </c>
      <c r="G25" s="5" t="s">
        <v>25</v>
      </c>
      <c r="H25" s="5" t="s">
        <v>25</v>
      </c>
      <c r="I25" s="6">
        <f t="shared" si="0"/>
        <v>0.21428571428571427</v>
      </c>
      <c r="J25" s="5" t="str">
        <f t="shared" si="1"/>
        <v>در حال اجرا</v>
      </c>
      <c r="K25" s="5"/>
      <c r="L25" s="5"/>
      <c r="M25" s="5"/>
      <c r="N25" s="5"/>
      <c r="O25" s="5"/>
      <c r="P25" s="5"/>
      <c r="Q25" s="5"/>
      <c r="R25" s="5"/>
      <c r="S25" s="5" t="str">
        <f t="shared" si="2"/>
        <v>رابط استانی در حال انجام</v>
      </c>
      <c r="T25" s="5" t="str">
        <f t="shared" si="3"/>
        <v>رابط استانی تکمیل شود</v>
      </c>
      <c r="U25" s="5"/>
      <c r="V25" s="5"/>
      <c r="W25" s="5"/>
    </row>
    <row r="26" spans="1:23" x14ac:dyDescent="0.2">
      <c r="A26" s="5" t="s">
        <v>50</v>
      </c>
      <c r="B26" s="5" t="s">
        <v>24</v>
      </c>
      <c r="C26" s="5" t="s">
        <v>32</v>
      </c>
      <c r="D26" s="5" t="s">
        <v>25</v>
      </c>
      <c r="E26" s="5" t="s">
        <v>25</v>
      </c>
      <c r="F26" s="5" t="s">
        <v>25</v>
      </c>
      <c r="G26" s="5" t="s">
        <v>25</v>
      </c>
      <c r="H26" s="5" t="s">
        <v>25</v>
      </c>
      <c r="I26" s="6">
        <f t="shared" si="0"/>
        <v>0.21428571428571427</v>
      </c>
      <c r="J26" s="5" t="str">
        <f t="shared" si="1"/>
        <v>در حال اجرا</v>
      </c>
      <c r="K26" s="5"/>
      <c r="L26" s="5"/>
      <c r="M26" s="5"/>
      <c r="N26" s="5"/>
      <c r="O26" s="5"/>
      <c r="P26" s="5"/>
      <c r="Q26" s="5"/>
      <c r="R26" s="5"/>
      <c r="S26" s="5" t="str">
        <f t="shared" si="2"/>
        <v>رابط استانی در حال انجام</v>
      </c>
      <c r="T26" s="5" t="str">
        <f t="shared" si="3"/>
        <v>رابط استانی تکمیل شود</v>
      </c>
      <c r="U26" s="5"/>
      <c r="V26" s="5"/>
      <c r="W26" s="5"/>
    </row>
    <row r="27" spans="1:23" x14ac:dyDescent="0.2">
      <c r="A27" s="5" t="s">
        <v>51</v>
      </c>
      <c r="B27" s="5" t="s">
        <v>24</v>
      </c>
      <c r="C27" s="5" t="s">
        <v>32</v>
      </c>
      <c r="D27" s="5" t="s">
        <v>25</v>
      </c>
      <c r="E27" s="5" t="s">
        <v>25</v>
      </c>
      <c r="F27" s="5" t="s">
        <v>25</v>
      </c>
      <c r="G27" s="5" t="s">
        <v>25</v>
      </c>
      <c r="H27" s="5" t="s">
        <v>25</v>
      </c>
      <c r="I27" s="6">
        <f t="shared" si="0"/>
        <v>0.21428571428571427</v>
      </c>
      <c r="J27" s="5" t="str">
        <f t="shared" si="1"/>
        <v>در حال اجرا</v>
      </c>
      <c r="K27" s="5"/>
      <c r="L27" s="5"/>
      <c r="M27" s="5"/>
      <c r="N27" s="5"/>
      <c r="O27" s="5"/>
      <c r="P27" s="5"/>
      <c r="Q27" s="5"/>
      <c r="R27" s="5"/>
      <c r="S27" s="5" t="str">
        <f t="shared" si="2"/>
        <v>رابط استانی در حال انجام</v>
      </c>
      <c r="T27" s="5" t="str">
        <f t="shared" si="3"/>
        <v>رابط استانی تکمیل شود</v>
      </c>
      <c r="U27" s="5"/>
      <c r="V27" s="5"/>
      <c r="W27" s="5"/>
    </row>
    <row r="28" spans="1:23" x14ac:dyDescent="0.2">
      <c r="A28" s="5" t="s">
        <v>52</v>
      </c>
      <c r="B28" s="5" t="s">
        <v>24</v>
      </c>
      <c r="C28" s="5" t="s">
        <v>32</v>
      </c>
      <c r="D28" s="5" t="s">
        <v>25</v>
      </c>
      <c r="E28" s="5" t="s">
        <v>25</v>
      </c>
      <c r="F28" s="5" t="s">
        <v>25</v>
      </c>
      <c r="G28" s="5" t="s">
        <v>25</v>
      </c>
      <c r="H28" s="5" t="s">
        <v>25</v>
      </c>
      <c r="I28" s="6">
        <f t="shared" si="0"/>
        <v>0.21428571428571427</v>
      </c>
      <c r="J28" s="5" t="str">
        <f t="shared" si="1"/>
        <v>در حال اجرا</v>
      </c>
      <c r="K28" s="5"/>
      <c r="L28" s="5"/>
      <c r="M28" s="5"/>
      <c r="N28" s="5"/>
      <c r="O28" s="5"/>
      <c r="P28" s="5"/>
      <c r="Q28" s="5"/>
      <c r="R28" s="5"/>
      <c r="S28" s="5" t="str">
        <f t="shared" si="2"/>
        <v>رابط استانی در حال انجام</v>
      </c>
      <c r="T28" s="5" t="str">
        <f t="shared" si="3"/>
        <v>رابط استانی تکمیل شود</v>
      </c>
      <c r="U28" s="5"/>
      <c r="V28" s="5"/>
      <c r="W28" s="5"/>
    </row>
    <row r="29" spans="1:23" x14ac:dyDescent="0.2">
      <c r="A29" s="5" t="s">
        <v>53</v>
      </c>
      <c r="B29" s="5" t="s">
        <v>24</v>
      </c>
      <c r="C29" s="5" t="s">
        <v>24</v>
      </c>
      <c r="D29" s="5" t="s">
        <v>25</v>
      </c>
      <c r="E29" s="5" t="s">
        <v>25</v>
      </c>
      <c r="F29" s="5" t="s">
        <v>25</v>
      </c>
      <c r="G29" s="5" t="s">
        <v>25</v>
      </c>
      <c r="H29" s="5" t="s">
        <v>25</v>
      </c>
      <c r="I29" s="6">
        <f t="shared" si="0"/>
        <v>0.2857142857142857</v>
      </c>
      <c r="J29" s="5" t="str">
        <f t="shared" si="1"/>
        <v>در حال اجرا</v>
      </c>
      <c r="K29" s="5"/>
      <c r="L29" s="5"/>
      <c r="M29" s="5"/>
      <c r="N29" s="5"/>
      <c r="O29" s="5"/>
      <c r="P29" s="5"/>
      <c r="Q29" s="5"/>
      <c r="R29" s="5"/>
      <c r="S29" s="5" t="str">
        <f t="shared" si="2"/>
        <v>رابط استانی انجام شد</v>
      </c>
      <c r="T29" s="5" t="str">
        <f t="shared" si="3"/>
        <v>رابط شهرستانی آغاز شود</v>
      </c>
      <c r="U29" s="5"/>
      <c r="V29" s="5"/>
      <c r="W29" s="5"/>
    </row>
    <row r="30" spans="1:23" x14ac:dyDescent="0.2">
      <c r="A30" s="5" t="s">
        <v>54</v>
      </c>
      <c r="B30" s="5" t="s">
        <v>24</v>
      </c>
      <c r="C30" s="5" t="s">
        <v>32</v>
      </c>
      <c r="D30" s="5" t="s">
        <v>25</v>
      </c>
      <c r="E30" s="5" t="s">
        <v>25</v>
      </c>
      <c r="F30" s="5" t="s">
        <v>25</v>
      </c>
      <c r="G30" s="5" t="s">
        <v>25</v>
      </c>
      <c r="H30" s="5" t="s">
        <v>25</v>
      </c>
      <c r="I30" s="6">
        <f t="shared" si="0"/>
        <v>0.21428571428571427</v>
      </c>
      <c r="J30" s="5" t="str">
        <f t="shared" si="1"/>
        <v>در حال اجرا</v>
      </c>
      <c r="K30" s="5"/>
      <c r="L30" s="5"/>
      <c r="M30" s="5"/>
      <c r="N30" s="5"/>
      <c r="O30" s="5"/>
      <c r="P30" s="5"/>
      <c r="Q30" s="5"/>
      <c r="R30" s="5"/>
      <c r="S30" s="5" t="str">
        <f t="shared" si="2"/>
        <v>رابط استانی در حال انجام</v>
      </c>
      <c r="T30" s="5" t="str">
        <f t="shared" si="3"/>
        <v>رابط استانی تکمیل شود</v>
      </c>
      <c r="U30" s="5"/>
      <c r="V30" s="5"/>
      <c r="W30" s="5"/>
    </row>
    <row r="31" spans="1:23" x14ac:dyDescent="0.2">
      <c r="A31" s="5" t="s">
        <v>55</v>
      </c>
      <c r="B31" s="5" t="s">
        <v>24</v>
      </c>
      <c r="C31" s="5" t="s">
        <v>32</v>
      </c>
      <c r="D31" s="5" t="s">
        <v>25</v>
      </c>
      <c r="E31" s="5" t="s">
        <v>25</v>
      </c>
      <c r="F31" s="5" t="s">
        <v>25</v>
      </c>
      <c r="G31" s="5" t="s">
        <v>25</v>
      </c>
      <c r="H31" s="5" t="s">
        <v>25</v>
      </c>
      <c r="I31" s="6">
        <f t="shared" si="0"/>
        <v>0.21428571428571427</v>
      </c>
      <c r="J31" s="5" t="str">
        <f t="shared" si="1"/>
        <v>در حال اجرا</v>
      </c>
      <c r="K31" s="5"/>
      <c r="L31" s="5"/>
      <c r="M31" s="5"/>
      <c r="N31" s="5"/>
      <c r="O31" s="5"/>
      <c r="P31" s="5"/>
      <c r="Q31" s="5"/>
      <c r="R31" s="5"/>
      <c r="S31" s="5" t="str">
        <f t="shared" si="2"/>
        <v>رابط استانی در حال انجام</v>
      </c>
      <c r="T31" s="5" t="str">
        <f t="shared" si="3"/>
        <v>رابط استانی تکمیل شود</v>
      </c>
      <c r="U31" s="5"/>
      <c r="V31" s="5"/>
      <c r="W31" s="5"/>
    </row>
    <row r="32" spans="1:23" x14ac:dyDescent="0.2">
      <c r="A32" s="5" t="s">
        <v>56</v>
      </c>
      <c r="B32" s="5" t="s">
        <v>24</v>
      </c>
      <c r="C32" s="5" t="s">
        <v>32</v>
      </c>
      <c r="D32" s="5" t="s">
        <v>25</v>
      </c>
      <c r="E32" s="5" t="s">
        <v>25</v>
      </c>
      <c r="F32" s="5" t="s">
        <v>25</v>
      </c>
      <c r="G32" s="5" t="s">
        <v>25</v>
      </c>
      <c r="H32" s="5" t="s">
        <v>25</v>
      </c>
      <c r="I32" s="6">
        <f t="shared" si="0"/>
        <v>0.21428571428571427</v>
      </c>
      <c r="J32" s="5" t="str">
        <f t="shared" si="1"/>
        <v>در حال اجرا</v>
      </c>
      <c r="K32" s="5"/>
      <c r="L32" s="5"/>
      <c r="M32" s="5"/>
      <c r="N32" s="5"/>
      <c r="O32" s="5"/>
      <c r="P32" s="5"/>
      <c r="Q32" s="5"/>
      <c r="R32" s="5"/>
      <c r="S32" s="5" t="str">
        <f t="shared" si="2"/>
        <v>رابط استانی در حال انجام</v>
      </c>
      <c r="T32" s="5" t="str">
        <f t="shared" si="3"/>
        <v>رابط استانی تکمیل شود</v>
      </c>
      <c r="U32" s="5"/>
      <c r="V32" s="5"/>
      <c r="W32" s="5"/>
    </row>
  </sheetData>
  <dataValidations count="2">
    <dataValidation type="list" allowBlank="1" sqref="B2:H32" xr:uid="{00000000-0002-0000-0100-000000000000}">
      <formula1>"انجام نشده,در حال اجرا,انجام شد"</formula1>
    </dataValidation>
    <dataValidation type="list" allowBlank="1" sqref="K2:K32" xr:uid="{00000000-0002-0000-0100-000001000000}">
      <formula1>"دارد,ندارد"</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
  <sheetViews>
    <sheetView rightToLeft="1" workbookViewId="0"/>
  </sheetViews>
  <sheetFormatPr defaultRowHeight="14.25" x14ac:dyDescent="0.2"/>
  <cols>
    <col min="1" max="1" width="105" customWidth="1"/>
  </cols>
  <sheetData>
    <row r="1" spans="1:1" ht="60.75" customHeight="1" x14ac:dyDescent="0.2">
      <c r="A1" s="7" t="s">
        <v>65</v>
      </c>
    </row>
    <row r="2" spans="1:1" x14ac:dyDescent="0.2">
      <c r="A2" s="8" t="s">
        <v>66</v>
      </c>
    </row>
    <row r="3" spans="1:1" ht="199.5" customHeight="1" x14ac:dyDescent="0.2">
      <c r="A3" s="8" t="s">
        <v>67</v>
      </c>
    </row>
    <row r="4" spans="1:1" ht="114" customHeight="1" x14ac:dyDescent="0.2">
      <c r="A4" s="8" t="s">
        <v>68</v>
      </c>
    </row>
    <row r="5" spans="1:1" ht="114" customHeight="1" x14ac:dyDescent="0.2">
      <c r="A5" s="8" t="s">
        <v>69</v>
      </c>
    </row>
    <row r="6" spans="1:1" ht="99.75" customHeight="1" x14ac:dyDescent="0.2">
      <c r="A6" s="8" t="s">
        <v>70</v>
      </c>
    </row>
    <row r="7" spans="1:1" ht="114" customHeight="1" x14ac:dyDescent="0.2">
      <c r="A7" s="1" t="s">
        <v>71</v>
      </c>
    </row>
    <row r="8" spans="1:1" ht="156.75" customHeight="1" x14ac:dyDescent="0.2">
      <c r="A8" s="1" t="s">
        <v>72</v>
      </c>
    </row>
    <row r="9" spans="1:1" ht="185.25" customHeight="1" x14ac:dyDescent="0.2">
      <c r="A9" s="1" t="s">
        <v>73</v>
      </c>
    </row>
    <row r="10" spans="1:1" ht="142.5" customHeight="1" x14ac:dyDescent="0.2">
      <c r="A10" s="1" t="s">
        <v>74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1"/>
  <sheetViews>
    <sheetView rightToLeft="1" workbookViewId="0"/>
  </sheetViews>
  <sheetFormatPr defaultRowHeight="14.25" x14ac:dyDescent="0.2"/>
  <cols>
    <col min="1" max="1" width="100" customWidth="1"/>
  </cols>
  <sheetData>
    <row r="1" spans="1:1" ht="15" customHeight="1" x14ac:dyDescent="0.2">
      <c r="A1" s="2" t="s">
        <v>85</v>
      </c>
    </row>
    <row r="2" spans="1:1" ht="110.1" customHeight="1" x14ac:dyDescent="0.2">
      <c r="A2" s="9" t="s">
        <v>84</v>
      </c>
    </row>
    <row r="3" spans="1:1" ht="18" customHeight="1" x14ac:dyDescent="0.45">
      <c r="A3" s="3" t="s">
        <v>75</v>
      </c>
    </row>
    <row r="4" spans="1:1" ht="18" customHeight="1" x14ac:dyDescent="0.45">
      <c r="A4" s="3" t="s">
        <v>76</v>
      </c>
    </row>
    <row r="5" spans="1:1" ht="18" customHeight="1" x14ac:dyDescent="0.45">
      <c r="A5" s="3" t="s">
        <v>77</v>
      </c>
    </row>
    <row r="6" spans="1:1" ht="18" customHeight="1" x14ac:dyDescent="0.45">
      <c r="A6" s="3" t="s">
        <v>78</v>
      </c>
    </row>
    <row r="7" spans="1:1" ht="18" customHeight="1" x14ac:dyDescent="0.45">
      <c r="A7" s="3" t="s">
        <v>79</v>
      </c>
    </row>
    <row r="8" spans="1:1" ht="18" customHeight="1" x14ac:dyDescent="0.45">
      <c r="A8" s="3" t="s">
        <v>80</v>
      </c>
    </row>
    <row r="9" spans="1:1" ht="18" customHeight="1" x14ac:dyDescent="0.45">
      <c r="A9" s="3" t="s">
        <v>81</v>
      </c>
    </row>
    <row r="10" spans="1:1" ht="18" customHeight="1" x14ac:dyDescent="0.45">
      <c r="A10" s="3" t="s">
        <v>82</v>
      </c>
    </row>
    <row r="11" spans="1:1" ht="18" customHeight="1" x14ac:dyDescent="0.45">
      <c r="A11" s="3" t="s">
        <v>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آمار کلان</vt:lpstr>
      <vt:lpstr>اطلاعات استان‌ها</vt:lpstr>
      <vt:lpstr>راهنمای ورود اطلاعات</vt:lpstr>
      <vt:lpstr>پیام انگیزشی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Mashar1542</cp:lastModifiedBy>
  <dcterms:created xsi:type="dcterms:W3CDTF">2026-08-16T07:00:52Z</dcterms:created>
  <dcterms:modified xsi:type="dcterms:W3CDTF">2026-10-08T10:39:12Z</dcterms:modified>
</cp:coreProperties>
</file>