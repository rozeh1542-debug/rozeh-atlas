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SHAR1542\Downloads\"/>
    </mc:Choice>
  </mc:AlternateContent>
  <xr:revisionPtr revIDLastSave="0" documentId="13_ncr:1_{3EF660DB-7A17-4C99-A987-54E94D09BEE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آمار کلان" sheetId="1" r:id="rId1"/>
    <sheet name="اطلاعات استان‌ها" sheetId="2" r:id="rId2"/>
    <sheet name="راهنمای ورود اطلاعات" sheetId="3" r:id="rId3"/>
  </sheets>
  <definedNames>
    <definedName name="_xlnm._FilterDatabase" localSheetId="1" hidden="1">'اطلاعات استان‌ها'!$A$1:$X$32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2" l="1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  <c r="I4" i="2"/>
  <c r="J4" i="2" s="1"/>
  <c r="I3" i="2"/>
  <c r="J3" i="2" s="1"/>
  <c r="I2" i="2"/>
  <c r="J2" i="2" s="1"/>
  <c r="C11" i="1"/>
  <c r="C10" i="1"/>
  <c r="C9" i="1"/>
  <c r="C8" i="1"/>
  <c r="C7" i="1"/>
  <c r="C6" i="1"/>
  <c r="C5" i="1"/>
  <c r="C4" i="1"/>
  <c r="C3" i="1" l="1"/>
</calcChain>
</file>

<file path=xl/sharedStrings.xml><?xml version="1.0" encoding="utf-8"?>
<sst xmlns="http://schemas.openxmlformats.org/spreadsheetml/2006/main" count="292" uniqueCount="71">
  <si>
    <t>شاخص‌های کلان اطلس پیشرفت طرح احیای روضه‌های خانگی</t>
  </si>
  <si>
    <t>ردیف</t>
  </si>
  <si>
    <t>شاخص</t>
  </si>
  <si>
    <t>مقدار</t>
  </si>
  <si>
    <t>تعداد استان‌های فعال</t>
  </si>
  <si>
    <t>تعداد رابطان استانی</t>
  </si>
  <si>
    <t>تعداد شهرستان‌های فعال</t>
  </si>
  <si>
    <t>تعداد رابطان شهرستانی</t>
  </si>
  <si>
    <t>تعداد هیأت‌ها و مجموعه‌های شناسایی‌شده</t>
  </si>
  <si>
    <t>تعداد روضه‌های خانگی فعال</t>
  </si>
  <si>
    <t>تعداد روضه‌های خانگی برگزارشده</t>
  </si>
  <si>
    <t>تعداد مخاطبان</t>
  </si>
  <si>
    <t>تعداد خانواده‌های مشارکت‌کننده</t>
  </si>
  <si>
    <t>استان</t>
  </si>
  <si>
    <t>گام ۱ - شناسایی فعالان</t>
  </si>
  <si>
    <t>گام ۲ - رابط استانی</t>
  </si>
  <si>
    <t>گام ۳ - رابط شهرستانی</t>
  </si>
  <si>
    <t>گام ۴ - همایش استانی</t>
  </si>
  <si>
    <t>گام ۵ - توانمندسازی</t>
  </si>
  <si>
    <t>گام ۶ - اقدام و استمرار</t>
  </si>
  <si>
    <t>گام ۷ - ارزیابی و توسعه</t>
  </si>
  <si>
    <t>درصد پیشرفت کلی</t>
  </si>
  <si>
    <t>وضعیت کلی</t>
  </si>
  <si>
    <t>نام و نام خانوادگی رابط استانی</t>
  </si>
  <si>
    <t>نام شهرستان‌های فعال</t>
  </si>
  <si>
    <t>آخرین اقدام</t>
  </si>
  <si>
    <t>آخرین به‌روزرسانی</t>
  </si>
  <si>
    <t>مسائل و موانع</t>
  </si>
  <si>
    <t>اقدام بعدی</t>
  </si>
  <si>
    <t>توضیحات</t>
  </si>
  <si>
    <t>آذربایجان شرقی</t>
  </si>
  <si>
    <t>انجام نشده</t>
  </si>
  <si>
    <t>آذربایجان غربی</t>
  </si>
  <si>
    <t>اردبیل</t>
  </si>
  <si>
    <t>اصفهان</t>
  </si>
  <si>
    <t>البرز</t>
  </si>
  <si>
    <t>ایلام</t>
  </si>
  <si>
    <t>بوشهر</t>
  </si>
  <si>
    <t>تهران</t>
  </si>
  <si>
    <t>چهارمحال و بختیاری</t>
  </si>
  <si>
    <t>خراسان جنوبی</t>
  </si>
  <si>
    <t>خراسان رضوی</t>
  </si>
  <si>
    <t>خراسان شمالی</t>
  </si>
  <si>
    <t>خوزستان</t>
  </si>
  <si>
    <t>زنجان</t>
  </si>
  <si>
    <t>سمنان</t>
  </si>
  <si>
    <t>سیستان و بلوچستان</t>
  </si>
  <si>
    <t>فارس</t>
  </si>
  <si>
    <t>قزوین</t>
  </si>
  <si>
    <t>قم</t>
  </si>
  <si>
    <t>کردستان</t>
  </si>
  <si>
    <t>کرمان</t>
  </si>
  <si>
    <t>کرمانشاه</t>
  </si>
  <si>
    <t>کهگیلویه و بویراحمد</t>
  </si>
  <si>
    <t>گلستان</t>
  </si>
  <si>
    <t>گیلان</t>
  </si>
  <si>
    <t>لرستان</t>
  </si>
  <si>
    <t>مازندران</t>
  </si>
  <si>
    <t>مرکزی</t>
  </si>
  <si>
    <t>هرمزگان</t>
  </si>
  <si>
    <t>همدان</t>
  </si>
  <si>
    <t>یزد</t>
  </si>
  <si>
    <t>راهنمای ورود اطلاعات</t>
  </si>
  <si>
    <t>1. در هر یک از ۷ گام، روی سلول کلیک کنید تا فهرست کشویی سه گزینه «انجام نشده»، «در حال اجرا» و «انجام شد» نمایش داده شود.</t>
  </si>
  <si>
    <t>2. در ستون «رابط استانی» یکی از گزینه‌های «دارد» یا «ندارد» را انتخاب کنید.</t>
  </si>
  <si>
    <t>در ستون «نام و نام خانوادگی رابط استانی» نام و نام خانوادگی رابط استان را وارد کنید.</t>
  </si>
  <si>
    <t>4. در ستون «نام شهرستان‌های فعال» می‌توانید نام شهرستان‌ها را وارد کنید.</t>
  </si>
  <si>
    <t>5. درصد پیشرفت کلی و وضعیت کلی به‌صورت خودکار محاسبه می‌شوند.</t>
  </si>
  <si>
    <t>درصد پیشرفت کلی به‌صورت خودکار از ۷ گام محاسبه و با علامت ٪ نمایش داده می‌شود.</t>
  </si>
  <si>
    <t>انجام شد</t>
  </si>
  <si>
    <t>در حال اجرا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</si>
</sst>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b/>
      <sz val="11"/>
      <color rgb="FFFFFFFF"/>
      <name val="Arial"/>
    </font>
    <font>
      <b/>
      <sz val="16"/>
      <color rgb="FFFFFFFF"/>
      <name val="Arial"/>
    </font>
    <font>
      <b/>
      <sz val="16"/>
      <name val="Arial"/>
    </font>
    <font>
      <b/>
      <sz val="11"/>
      <color rgb="FF315F4B"/>
      <name val="Arial"/>
    </font>
  </fonts>
  <fills count="5">
    <fill>
      <patternFill patternType="none"/>
    </fill>
    <fill>
      <patternFill patternType="gray125"/>
    </fill>
    <fill>
      <patternFill patternType="solid">
        <fgColor rgb="FF2F6B55"/>
      </patternFill>
    </fill>
    <fill>
      <patternFill patternType="solid">
        <fgColor rgb="FF8A6A3B"/>
      </patternFill>
    </fill>
    <fill>
      <patternFill patternType="solid">
        <fgColor rgb="FFE8F0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3" borderId="0" xfId="0" applyFont="1" applyFill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wrapText="1"/>
    </xf>
    <xf numFmtId="9" fontId="4" fillId="4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>
      <selection sqref="A1:C1"/>
    </sheetView>
  </sheetViews>
  <sheetFormatPr defaultRowHeight="14.25" x14ac:dyDescent="0.2"/>
  <cols>
    <col min="1" max="1" width="10" customWidth="1"/>
    <col min="2" max="2" width="45" customWidth="1"/>
    <col min="3" max="3" width="20" customWidth="1"/>
  </cols>
  <sheetData>
    <row r="1" spans="1:3" ht="20.25" x14ac:dyDescent="0.3">
      <c r="A1" s="7" t="s">
        <v>0</v>
      </c>
      <c r="B1" s="8"/>
      <c r="C1" s="8"/>
    </row>
    <row r="2" spans="1:3" ht="15" x14ac:dyDescent="0.25">
      <c r="A2" s="1" t="s">
        <v>1</v>
      </c>
      <c r="B2" s="1" t="s">
        <v>2</v>
      </c>
      <c r="C2" s="1" t="s">
        <v>3</v>
      </c>
    </row>
    <row r="3" spans="1:3" x14ac:dyDescent="0.2">
      <c r="A3">
        <v>1</v>
      </c>
      <c r="B3" t="s">
        <v>4</v>
      </c>
      <c r="C3">
        <f>COUNTIF('اطلاعات استان‌ها'!J2:J32,"&lt;&gt;شروع نشده")</f>
        <v>31</v>
      </c>
    </row>
    <row r="4" spans="1:3" x14ac:dyDescent="0.2">
      <c r="A4">
        <v>2</v>
      </c>
      <c r="B4" t="s">
        <v>5</v>
      </c>
      <c r="C4">
        <f>COUNTIF('اطلاعات استان‌ها'!K2:K32,"&lt;&gt;")</f>
        <v>0</v>
      </c>
    </row>
    <row r="5" spans="1:3" x14ac:dyDescent="0.2">
      <c r="A5">
        <v>3</v>
      </c>
      <c r="B5" t="s">
        <v>6</v>
      </c>
      <c r="C5">
        <f>SUM('اطلاعات استان‌ها'!L2:L32)</f>
        <v>0</v>
      </c>
    </row>
    <row r="6" spans="1:3" x14ac:dyDescent="0.2">
      <c r="A6">
        <v>4</v>
      </c>
      <c r="B6" t="s">
        <v>7</v>
      </c>
      <c r="C6">
        <f>SUM('اطلاعات استان‌ها'!N2:N32)</f>
        <v>0</v>
      </c>
    </row>
    <row r="7" spans="1:3" x14ac:dyDescent="0.2">
      <c r="A7">
        <v>5</v>
      </c>
      <c r="B7" t="s">
        <v>8</v>
      </c>
      <c r="C7">
        <f>SUM('اطلاعات استان‌ها'!O2:O32)</f>
        <v>0</v>
      </c>
    </row>
    <row r="8" spans="1:3" x14ac:dyDescent="0.2">
      <c r="A8">
        <v>6</v>
      </c>
      <c r="B8" t="s">
        <v>9</v>
      </c>
      <c r="C8">
        <f>SUM('اطلاعات استان‌ها'!P2:P32)</f>
        <v>0</v>
      </c>
    </row>
    <row r="9" spans="1:3" x14ac:dyDescent="0.2">
      <c r="A9">
        <v>7</v>
      </c>
      <c r="B9" t="s">
        <v>10</v>
      </c>
      <c r="C9">
        <f>SUM('اطلاعات استان‌ها'!Q2:Q32)</f>
        <v>0</v>
      </c>
    </row>
    <row r="10" spans="1:3" x14ac:dyDescent="0.2">
      <c r="A10">
        <v>8</v>
      </c>
      <c r="B10" t="s">
        <v>11</v>
      </c>
      <c r="C10">
        <f>SUM('اطلاعات استان‌ها'!R2:R32)</f>
        <v>0</v>
      </c>
    </row>
    <row r="11" spans="1:3" x14ac:dyDescent="0.2">
      <c r="A11">
        <v>9</v>
      </c>
      <c r="B11" t="s">
        <v>12</v>
      </c>
      <c r="C11">
        <f>SUM('اطلاعات استان‌ها'!S2:S32)</f>
        <v>0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2"/>
  <sheetViews>
    <sheetView tabSelected="1" topLeftCell="G1" workbookViewId="0">
      <pane ySplit="1" topLeftCell="A11" activePane="bottomLeft" state="frozen"/>
      <selection pane="bottomLeft" activeCell="B2" sqref="B2:K32"/>
    </sheetView>
  </sheetViews>
  <sheetFormatPr defaultRowHeight="14.25" x14ac:dyDescent="0.2"/>
  <cols>
    <col min="1" max="1" width="20" customWidth="1"/>
    <col min="2" max="8" width="24" customWidth="1"/>
    <col min="9" max="10" width="16" customWidth="1"/>
    <col min="11" max="11" width="28" customWidth="1"/>
    <col min="12" max="12" width="22" customWidth="1"/>
    <col min="13" max="13" width="34" customWidth="1"/>
    <col min="14" max="14" width="22" customWidth="1"/>
    <col min="15" max="15" width="30" customWidth="1"/>
    <col min="16" max="16" width="24" customWidth="1"/>
    <col min="17" max="17" width="25" customWidth="1"/>
    <col min="18" max="18" width="18" customWidth="1"/>
    <col min="19" max="19" width="24" customWidth="1"/>
    <col min="20" max="20" width="22" customWidth="1"/>
    <col min="21" max="21" width="20" customWidth="1"/>
    <col min="22" max="22" width="28" customWidth="1"/>
    <col min="23" max="23" width="24" customWidth="1"/>
    <col min="24" max="24" width="28" customWidth="1"/>
  </cols>
  <sheetData>
    <row r="1" spans="1:24" ht="15" x14ac:dyDescent="0.2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6</v>
      </c>
      <c r="M1" s="2" t="s">
        <v>24</v>
      </c>
      <c r="N1" s="2" t="s">
        <v>7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25</v>
      </c>
      <c r="U1" s="2" t="s">
        <v>26</v>
      </c>
      <c r="V1" s="2" t="s">
        <v>27</v>
      </c>
      <c r="W1" s="2" t="s">
        <v>28</v>
      </c>
      <c r="X1" s="2" t="s">
        <v>29</v>
      </c>
    </row>
    <row r="2" spans="1:24" ht="15" x14ac:dyDescent="0.2">
      <c r="A2" s="3" t="s">
        <v>30</v>
      </c>
      <c r="B2" s="3" t="s">
        <v>69</v>
      </c>
      <c r="C2" s="3" t="s">
        <v>31</v>
      </c>
      <c r="D2" s="3" t="s">
        <v>31</v>
      </c>
      <c r="E2" s="3" t="s">
        <v>31</v>
      </c>
      <c r="F2" s="3" t="s">
        <v>31</v>
      </c>
      <c r="G2" s="3" t="s">
        <v>31</v>
      </c>
      <c r="H2" s="3" t="s">
        <v>31</v>
      </c>
      <c r="I2" s="6">
        <f t="shared" ref="I2:I32" si="0">COUNTIF(B2:H2,"انجام شد")/7+COUNTIF(B2:H2,"در حال اجرا")/14</f>
        <v>0.14285714285714285</v>
      </c>
      <c r="J2" s="3" t="str">
        <f t="shared" ref="J2:J32" si="1">IF(I2=1,"تکمیل‌شده",IF(I2=0,"شروع نشده","در حال اجرا"))</f>
        <v>در حال اجرا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ht="15" x14ac:dyDescent="0.2">
      <c r="A3" s="3" t="s">
        <v>32</v>
      </c>
      <c r="B3" s="3" t="s">
        <v>69</v>
      </c>
      <c r="C3" s="3" t="s">
        <v>31</v>
      </c>
      <c r="D3" s="3" t="s">
        <v>31</v>
      </c>
      <c r="E3" s="3" t="s">
        <v>31</v>
      </c>
      <c r="F3" s="3" t="s">
        <v>31</v>
      </c>
      <c r="G3" s="3" t="s">
        <v>31</v>
      </c>
      <c r="H3" s="3" t="s">
        <v>31</v>
      </c>
      <c r="I3" s="6">
        <f t="shared" si="0"/>
        <v>0.14285714285714285</v>
      </c>
      <c r="J3" s="3" t="str">
        <f t="shared" si="1"/>
        <v>در حال اجرا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ht="15" x14ac:dyDescent="0.2">
      <c r="A4" s="3" t="s">
        <v>33</v>
      </c>
      <c r="B4" s="3" t="s">
        <v>69</v>
      </c>
      <c r="C4" s="3" t="s">
        <v>31</v>
      </c>
      <c r="D4" s="3" t="s">
        <v>31</v>
      </c>
      <c r="E4" s="3" t="s">
        <v>31</v>
      </c>
      <c r="F4" s="3" t="s">
        <v>31</v>
      </c>
      <c r="G4" s="3" t="s">
        <v>31</v>
      </c>
      <c r="H4" s="3" t="s">
        <v>31</v>
      </c>
      <c r="I4" s="6">
        <f t="shared" si="0"/>
        <v>0.14285714285714285</v>
      </c>
      <c r="J4" s="3" t="str">
        <f t="shared" si="1"/>
        <v>در حال اجرا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ht="15" x14ac:dyDescent="0.2">
      <c r="A5" s="3" t="s">
        <v>34</v>
      </c>
      <c r="B5" s="3" t="s">
        <v>69</v>
      </c>
      <c r="C5" s="3" t="s">
        <v>31</v>
      </c>
      <c r="D5" s="3" t="s">
        <v>31</v>
      </c>
      <c r="E5" s="3" t="s">
        <v>31</v>
      </c>
      <c r="F5" s="3" t="s">
        <v>31</v>
      </c>
      <c r="G5" s="3" t="s">
        <v>31</v>
      </c>
      <c r="H5" s="3" t="s">
        <v>31</v>
      </c>
      <c r="I5" s="6">
        <f t="shared" si="0"/>
        <v>0.14285714285714285</v>
      </c>
      <c r="J5" s="3" t="str">
        <f t="shared" si="1"/>
        <v>در حال اجرا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ht="15" x14ac:dyDescent="0.2">
      <c r="A6" s="3" t="s">
        <v>35</v>
      </c>
      <c r="B6" s="3" t="s">
        <v>69</v>
      </c>
      <c r="C6" s="3" t="s">
        <v>31</v>
      </c>
      <c r="D6" s="3" t="s">
        <v>31</v>
      </c>
      <c r="E6" s="3" t="s">
        <v>31</v>
      </c>
      <c r="F6" s="3" t="s">
        <v>31</v>
      </c>
      <c r="G6" s="3" t="s">
        <v>31</v>
      </c>
      <c r="H6" s="3" t="s">
        <v>31</v>
      </c>
      <c r="I6" s="6">
        <f t="shared" si="0"/>
        <v>0.14285714285714285</v>
      </c>
      <c r="J6" s="3" t="str">
        <f t="shared" si="1"/>
        <v>در حال اجرا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ht="15" x14ac:dyDescent="0.2">
      <c r="A7" s="3" t="s">
        <v>36</v>
      </c>
      <c r="B7" s="3" t="s">
        <v>69</v>
      </c>
      <c r="C7" s="3" t="s">
        <v>31</v>
      </c>
      <c r="D7" s="3" t="s">
        <v>31</v>
      </c>
      <c r="E7" s="3" t="s">
        <v>31</v>
      </c>
      <c r="F7" s="3" t="s">
        <v>31</v>
      </c>
      <c r="G7" s="3" t="s">
        <v>31</v>
      </c>
      <c r="H7" s="3" t="s">
        <v>31</v>
      </c>
      <c r="I7" s="6">
        <f t="shared" si="0"/>
        <v>0.14285714285714285</v>
      </c>
      <c r="J7" s="3" t="str">
        <f t="shared" si="1"/>
        <v>در حال اجرا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ht="15" x14ac:dyDescent="0.2">
      <c r="A8" s="3" t="s">
        <v>37</v>
      </c>
      <c r="B8" s="3" t="s">
        <v>69</v>
      </c>
      <c r="C8" s="3" t="s">
        <v>70</v>
      </c>
      <c r="D8" s="3" t="s">
        <v>31</v>
      </c>
      <c r="E8" s="3" t="s">
        <v>31</v>
      </c>
      <c r="F8" s="3" t="s">
        <v>31</v>
      </c>
      <c r="G8" s="3" t="s">
        <v>31</v>
      </c>
      <c r="H8" s="3" t="s">
        <v>31</v>
      </c>
      <c r="I8" s="6">
        <f t="shared" si="0"/>
        <v>0.21428571428571427</v>
      </c>
      <c r="J8" s="3" t="str">
        <f t="shared" si="1"/>
        <v>در حال اجرا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ht="15" x14ac:dyDescent="0.2">
      <c r="A9" s="3" t="s">
        <v>38</v>
      </c>
      <c r="B9" s="3" t="s">
        <v>69</v>
      </c>
      <c r="C9" s="3" t="s">
        <v>31</v>
      </c>
      <c r="D9" s="3" t="s">
        <v>31</v>
      </c>
      <c r="E9" s="3" t="s">
        <v>31</v>
      </c>
      <c r="F9" s="3" t="s">
        <v>31</v>
      </c>
      <c r="G9" s="3" t="s">
        <v>31</v>
      </c>
      <c r="H9" s="3" t="s">
        <v>31</v>
      </c>
      <c r="I9" s="6">
        <f t="shared" si="0"/>
        <v>0.14285714285714285</v>
      </c>
      <c r="J9" s="3" t="str">
        <f t="shared" si="1"/>
        <v>در حال اجرا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5" x14ac:dyDescent="0.2">
      <c r="A10" s="3" t="s">
        <v>39</v>
      </c>
      <c r="B10" s="3" t="s">
        <v>69</v>
      </c>
      <c r="C10" s="3" t="s">
        <v>70</v>
      </c>
      <c r="D10" s="3" t="s">
        <v>31</v>
      </c>
      <c r="E10" s="3" t="s">
        <v>31</v>
      </c>
      <c r="F10" s="3" t="s">
        <v>31</v>
      </c>
      <c r="G10" s="3" t="s">
        <v>31</v>
      </c>
      <c r="H10" s="3" t="s">
        <v>31</v>
      </c>
      <c r="I10" s="6">
        <f t="shared" si="0"/>
        <v>0.21428571428571427</v>
      </c>
      <c r="J10" s="3" t="str">
        <f t="shared" si="1"/>
        <v>در حال اجرا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ht="15" x14ac:dyDescent="0.2">
      <c r="A11" s="3" t="s">
        <v>40</v>
      </c>
      <c r="B11" s="3" t="s">
        <v>69</v>
      </c>
      <c r="C11" s="3" t="s">
        <v>31</v>
      </c>
      <c r="D11" s="3" t="s">
        <v>31</v>
      </c>
      <c r="E11" s="3" t="s">
        <v>31</v>
      </c>
      <c r="F11" s="3" t="s">
        <v>31</v>
      </c>
      <c r="G11" s="3" t="s">
        <v>31</v>
      </c>
      <c r="H11" s="3" t="s">
        <v>31</v>
      </c>
      <c r="I11" s="6">
        <f t="shared" si="0"/>
        <v>0.14285714285714285</v>
      </c>
      <c r="J11" s="3" t="str">
        <f t="shared" si="1"/>
        <v>در حال اجرا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ht="15" x14ac:dyDescent="0.2">
      <c r="A12" s="3" t="s">
        <v>41</v>
      </c>
      <c r="B12" s="3" t="s">
        <v>69</v>
      </c>
      <c r="C12" s="3" t="s">
        <v>31</v>
      </c>
      <c r="D12" s="3" t="s">
        <v>31</v>
      </c>
      <c r="E12" s="3" t="s">
        <v>31</v>
      </c>
      <c r="F12" s="3" t="s">
        <v>31</v>
      </c>
      <c r="G12" s="3" t="s">
        <v>31</v>
      </c>
      <c r="H12" s="3" t="s">
        <v>31</v>
      </c>
      <c r="I12" s="6">
        <f t="shared" si="0"/>
        <v>0.14285714285714285</v>
      </c>
      <c r="J12" s="3" t="str">
        <f t="shared" si="1"/>
        <v>در حال اجرا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ht="15" x14ac:dyDescent="0.2">
      <c r="A13" s="3" t="s">
        <v>42</v>
      </c>
      <c r="B13" s="3" t="s">
        <v>69</v>
      </c>
      <c r="C13" s="3" t="s">
        <v>31</v>
      </c>
      <c r="D13" s="3" t="s">
        <v>31</v>
      </c>
      <c r="E13" s="3" t="s">
        <v>31</v>
      </c>
      <c r="F13" s="3" t="s">
        <v>31</v>
      </c>
      <c r="G13" s="3" t="s">
        <v>31</v>
      </c>
      <c r="H13" s="3" t="s">
        <v>31</v>
      </c>
      <c r="I13" s="6">
        <f t="shared" si="0"/>
        <v>0.14285714285714285</v>
      </c>
      <c r="J13" s="3" t="str">
        <f t="shared" si="1"/>
        <v>در حال اجرا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ht="15" x14ac:dyDescent="0.2">
      <c r="A14" s="3" t="s">
        <v>43</v>
      </c>
      <c r="B14" s="3" t="s">
        <v>69</v>
      </c>
      <c r="C14" s="3" t="s">
        <v>31</v>
      </c>
      <c r="D14" s="3" t="s">
        <v>31</v>
      </c>
      <c r="E14" s="3" t="s">
        <v>31</v>
      </c>
      <c r="F14" s="3" t="s">
        <v>31</v>
      </c>
      <c r="G14" s="3" t="s">
        <v>31</v>
      </c>
      <c r="H14" s="3" t="s">
        <v>31</v>
      </c>
      <c r="I14" s="6">
        <f t="shared" si="0"/>
        <v>0.14285714285714285</v>
      </c>
      <c r="J14" s="3" t="str">
        <f t="shared" si="1"/>
        <v>در حال اجرا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ht="15" x14ac:dyDescent="0.2">
      <c r="A15" s="3" t="s">
        <v>44</v>
      </c>
      <c r="B15" s="3" t="s">
        <v>69</v>
      </c>
      <c r="C15" s="3" t="s">
        <v>31</v>
      </c>
      <c r="D15" s="3" t="s">
        <v>31</v>
      </c>
      <c r="E15" s="3" t="s">
        <v>31</v>
      </c>
      <c r="F15" s="3" t="s">
        <v>31</v>
      </c>
      <c r="G15" s="3" t="s">
        <v>31</v>
      </c>
      <c r="H15" s="3" t="s">
        <v>31</v>
      </c>
      <c r="I15" s="6">
        <f t="shared" si="0"/>
        <v>0.14285714285714285</v>
      </c>
      <c r="J15" s="3" t="str">
        <f t="shared" si="1"/>
        <v>در حال اجرا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ht="15" x14ac:dyDescent="0.2">
      <c r="A16" s="3" t="s">
        <v>45</v>
      </c>
      <c r="B16" s="3" t="s">
        <v>69</v>
      </c>
      <c r="C16" s="3" t="s">
        <v>31</v>
      </c>
      <c r="D16" s="3" t="s">
        <v>31</v>
      </c>
      <c r="E16" s="3" t="s">
        <v>31</v>
      </c>
      <c r="F16" s="3" t="s">
        <v>31</v>
      </c>
      <c r="G16" s="3" t="s">
        <v>31</v>
      </c>
      <c r="H16" s="3" t="s">
        <v>31</v>
      </c>
      <c r="I16" s="6">
        <f t="shared" si="0"/>
        <v>0.14285714285714285</v>
      </c>
      <c r="J16" s="3" t="str">
        <f t="shared" si="1"/>
        <v>در حال اجرا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ht="15" x14ac:dyDescent="0.2">
      <c r="A17" s="3" t="s">
        <v>46</v>
      </c>
      <c r="B17" s="3" t="s">
        <v>69</v>
      </c>
      <c r="C17" s="3" t="s">
        <v>31</v>
      </c>
      <c r="D17" s="3" t="s">
        <v>31</v>
      </c>
      <c r="E17" s="3" t="s">
        <v>31</v>
      </c>
      <c r="F17" s="3" t="s">
        <v>31</v>
      </c>
      <c r="G17" s="3" t="s">
        <v>31</v>
      </c>
      <c r="H17" s="3" t="s">
        <v>31</v>
      </c>
      <c r="I17" s="6">
        <f t="shared" si="0"/>
        <v>0.14285714285714285</v>
      </c>
      <c r="J17" s="3" t="str">
        <f t="shared" si="1"/>
        <v>در حال اجرا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ht="15" x14ac:dyDescent="0.2">
      <c r="A18" s="3" t="s">
        <v>47</v>
      </c>
      <c r="B18" s="3" t="s">
        <v>69</v>
      </c>
      <c r="C18" s="3" t="s">
        <v>31</v>
      </c>
      <c r="D18" s="3" t="s">
        <v>31</v>
      </c>
      <c r="E18" s="3" t="s">
        <v>31</v>
      </c>
      <c r="F18" s="3" t="s">
        <v>31</v>
      </c>
      <c r="G18" s="3" t="s">
        <v>31</v>
      </c>
      <c r="H18" s="3" t="s">
        <v>31</v>
      </c>
      <c r="I18" s="6">
        <f t="shared" si="0"/>
        <v>0.14285714285714285</v>
      </c>
      <c r="J18" s="3" t="str">
        <f t="shared" si="1"/>
        <v>در حال اجرا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ht="15" x14ac:dyDescent="0.2">
      <c r="A19" s="3" t="s">
        <v>48</v>
      </c>
      <c r="B19" s="3" t="s">
        <v>69</v>
      </c>
      <c r="C19" s="3" t="s">
        <v>31</v>
      </c>
      <c r="D19" s="3" t="s">
        <v>31</v>
      </c>
      <c r="E19" s="3" t="s">
        <v>31</v>
      </c>
      <c r="F19" s="3" t="s">
        <v>31</v>
      </c>
      <c r="G19" s="3" t="s">
        <v>31</v>
      </c>
      <c r="H19" s="3" t="s">
        <v>31</v>
      </c>
      <c r="I19" s="6">
        <f t="shared" si="0"/>
        <v>0.14285714285714285</v>
      </c>
      <c r="J19" s="3" t="str">
        <f t="shared" si="1"/>
        <v>در حال اجرا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ht="15" x14ac:dyDescent="0.2">
      <c r="A20" s="3" t="s">
        <v>49</v>
      </c>
      <c r="B20" s="3" t="s">
        <v>69</v>
      </c>
      <c r="C20" s="3" t="s">
        <v>31</v>
      </c>
      <c r="D20" s="3" t="s">
        <v>31</v>
      </c>
      <c r="E20" s="3" t="s">
        <v>31</v>
      </c>
      <c r="F20" s="3" t="s">
        <v>31</v>
      </c>
      <c r="G20" s="3" t="s">
        <v>31</v>
      </c>
      <c r="H20" s="3" t="s">
        <v>31</v>
      </c>
      <c r="I20" s="6">
        <f t="shared" si="0"/>
        <v>0.14285714285714285</v>
      </c>
      <c r="J20" s="3" t="str">
        <f t="shared" si="1"/>
        <v>در حال اجرا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ht="15" x14ac:dyDescent="0.2">
      <c r="A21" s="3" t="s">
        <v>50</v>
      </c>
      <c r="B21" s="3" t="s">
        <v>69</v>
      </c>
      <c r="C21" s="3" t="s">
        <v>70</v>
      </c>
      <c r="D21" s="3" t="s">
        <v>31</v>
      </c>
      <c r="E21" s="3" t="s">
        <v>31</v>
      </c>
      <c r="F21" s="3" t="s">
        <v>31</v>
      </c>
      <c r="G21" s="3" t="s">
        <v>31</v>
      </c>
      <c r="H21" s="3" t="s">
        <v>31</v>
      </c>
      <c r="I21" s="6">
        <f t="shared" si="0"/>
        <v>0.21428571428571427</v>
      </c>
      <c r="J21" s="3" t="str">
        <f t="shared" si="1"/>
        <v>در حال اجرا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ht="15" x14ac:dyDescent="0.2">
      <c r="A22" s="3" t="s">
        <v>51</v>
      </c>
      <c r="B22" s="3" t="s">
        <v>69</v>
      </c>
      <c r="C22" s="3" t="s">
        <v>31</v>
      </c>
      <c r="D22" s="3" t="s">
        <v>31</v>
      </c>
      <c r="E22" s="3" t="s">
        <v>31</v>
      </c>
      <c r="F22" s="3" t="s">
        <v>31</v>
      </c>
      <c r="G22" s="3" t="s">
        <v>31</v>
      </c>
      <c r="H22" s="3" t="s">
        <v>31</v>
      </c>
      <c r="I22" s="6">
        <f t="shared" si="0"/>
        <v>0.14285714285714285</v>
      </c>
      <c r="J22" s="3" t="str">
        <f t="shared" si="1"/>
        <v>در حال اجرا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ht="15" x14ac:dyDescent="0.2">
      <c r="A23" s="3" t="s">
        <v>52</v>
      </c>
      <c r="B23" s="3" t="s">
        <v>69</v>
      </c>
      <c r="C23" s="3" t="s">
        <v>31</v>
      </c>
      <c r="D23" s="3" t="s">
        <v>31</v>
      </c>
      <c r="E23" s="3" t="s">
        <v>31</v>
      </c>
      <c r="F23" s="3" t="s">
        <v>31</v>
      </c>
      <c r="G23" s="3" t="s">
        <v>31</v>
      </c>
      <c r="H23" s="3" t="s">
        <v>31</v>
      </c>
      <c r="I23" s="6">
        <f t="shared" si="0"/>
        <v>0.14285714285714285</v>
      </c>
      <c r="J23" s="3" t="str">
        <f t="shared" si="1"/>
        <v>در حال اجرا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ht="15" x14ac:dyDescent="0.2">
      <c r="A24" s="3" t="s">
        <v>53</v>
      </c>
      <c r="B24" s="3" t="s">
        <v>69</v>
      </c>
      <c r="C24" s="3" t="s">
        <v>70</v>
      </c>
      <c r="D24" s="3" t="s">
        <v>31</v>
      </c>
      <c r="E24" s="3" t="s">
        <v>31</v>
      </c>
      <c r="F24" s="3" t="s">
        <v>31</v>
      </c>
      <c r="G24" s="3" t="s">
        <v>31</v>
      </c>
      <c r="H24" s="3" t="s">
        <v>31</v>
      </c>
      <c r="I24" s="6">
        <f t="shared" si="0"/>
        <v>0.21428571428571427</v>
      </c>
      <c r="J24" s="3" t="str">
        <f t="shared" si="1"/>
        <v>در حال اجرا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ht="15" x14ac:dyDescent="0.2">
      <c r="A25" s="3" t="s">
        <v>54</v>
      </c>
      <c r="B25" s="3" t="s">
        <v>69</v>
      </c>
      <c r="C25" s="3" t="s">
        <v>70</v>
      </c>
      <c r="D25" s="3" t="s">
        <v>31</v>
      </c>
      <c r="E25" s="3" t="s">
        <v>31</v>
      </c>
      <c r="F25" s="3" t="s">
        <v>31</v>
      </c>
      <c r="G25" s="3" t="s">
        <v>31</v>
      </c>
      <c r="H25" s="3" t="s">
        <v>31</v>
      </c>
      <c r="I25" s="6">
        <f t="shared" si="0"/>
        <v>0.21428571428571427</v>
      </c>
      <c r="J25" s="3" t="str">
        <f t="shared" si="1"/>
        <v>در حال اجرا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ht="15" x14ac:dyDescent="0.2">
      <c r="A26" s="3" t="s">
        <v>55</v>
      </c>
      <c r="B26" s="3" t="s">
        <v>69</v>
      </c>
      <c r="C26" s="3" t="s">
        <v>70</v>
      </c>
      <c r="D26" s="3" t="s">
        <v>31</v>
      </c>
      <c r="E26" s="3" t="s">
        <v>31</v>
      </c>
      <c r="F26" s="3" t="s">
        <v>31</v>
      </c>
      <c r="G26" s="3" t="s">
        <v>31</v>
      </c>
      <c r="H26" s="3" t="s">
        <v>31</v>
      </c>
      <c r="I26" s="6">
        <f t="shared" si="0"/>
        <v>0.21428571428571427</v>
      </c>
      <c r="J26" s="3" t="str">
        <f t="shared" si="1"/>
        <v>در حال اجرا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ht="15" x14ac:dyDescent="0.2">
      <c r="A27" s="3" t="s">
        <v>56</v>
      </c>
      <c r="B27" s="3" t="s">
        <v>69</v>
      </c>
      <c r="C27" s="3" t="s">
        <v>31</v>
      </c>
      <c r="D27" s="3" t="s">
        <v>31</v>
      </c>
      <c r="E27" s="3" t="s">
        <v>31</v>
      </c>
      <c r="F27" s="3" t="s">
        <v>31</v>
      </c>
      <c r="G27" s="3" t="s">
        <v>31</v>
      </c>
      <c r="H27" s="3" t="s">
        <v>31</v>
      </c>
      <c r="I27" s="6">
        <f t="shared" si="0"/>
        <v>0.14285714285714285</v>
      </c>
      <c r="J27" s="3" t="str">
        <f t="shared" si="1"/>
        <v>در حال اجرا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ht="15" x14ac:dyDescent="0.2">
      <c r="A28" s="3" t="s">
        <v>57</v>
      </c>
      <c r="B28" s="3" t="s">
        <v>69</v>
      </c>
      <c r="C28" s="3" t="s">
        <v>31</v>
      </c>
      <c r="D28" s="3" t="s">
        <v>31</v>
      </c>
      <c r="E28" s="3" t="s">
        <v>31</v>
      </c>
      <c r="F28" s="3" t="s">
        <v>31</v>
      </c>
      <c r="G28" s="3" t="s">
        <v>31</v>
      </c>
      <c r="H28" s="3" t="s">
        <v>31</v>
      </c>
      <c r="I28" s="6">
        <f t="shared" si="0"/>
        <v>0.14285714285714285</v>
      </c>
      <c r="J28" s="3" t="str">
        <f t="shared" si="1"/>
        <v>در حال اجرا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ht="15" x14ac:dyDescent="0.2">
      <c r="A29" s="3" t="s">
        <v>58</v>
      </c>
      <c r="B29" s="3" t="s">
        <v>69</v>
      </c>
      <c r="C29" s="3" t="s">
        <v>70</v>
      </c>
      <c r="D29" s="3" t="s">
        <v>31</v>
      </c>
      <c r="E29" s="3" t="s">
        <v>31</v>
      </c>
      <c r="F29" s="3" t="s">
        <v>31</v>
      </c>
      <c r="G29" s="3" t="s">
        <v>31</v>
      </c>
      <c r="H29" s="3" t="s">
        <v>31</v>
      </c>
      <c r="I29" s="6">
        <f t="shared" si="0"/>
        <v>0.21428571428571427</v>
      </c>
      <c r="J29" s="3" t="str">
        <f t="shared" si="1"/>
        <v>در حال اجرا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ht="15" x14ac:dyDescent="0.2">
      <c r="A30" s="3" t="s">
        <v>59</v>
      </c>
      <c r="B30" s="3" t="s">
        <v>69</v>
      </c>
      <c r="C30" s="3" t="s">
        <v>31</v>
      </c>
      <c r="D30" s="3" t="s">
        <v>31</v>
      </c>
      <c r="E30" s="3" t="s">
        <v>31</v>
      </c>
      <c r="F30" s="3" t="s">
        <v>31</v>
      </c>
      <c r="G30" s="3" t="s">
        <v>31</v>
      </c>
      <c r="H30" s="3" t="s">
        <v>31</v>
      </c>
      <c r="I30" s="6">
        <f t="shared" si="0"/>
        <v>0.14285714285714285</v>
      </c>
      <c r="J30" s="3" t="str">
        <f t="shared" si="1"/>
        <v>در حال اجرا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ht="15" x14ac:dyDescent="0.2">
      <c r="A31" s="3" t="s">
        <v>60</v>
      </c>
      <c r="B31" s="3" t="s">
        <v>69</v>
      </c>
      <c r="C31" s="3" t="s">
        <v>31</v>
      </c>
      <c r="D31" s="3" t="s">
        <v>31</v>
      </c>
      <c r="E31" s="3" t="s">
        <v>31</v>
      </c>
      <c r="F31" s="3" t="s">
        <v>31</v>
      </c>
      <c r="G31" s="3" t="s">
        <v>31</v>
      </c>
      <c r="H31" s="3" t="s">
        <v>31</v>
      </c>
      <c r="I31" s="6">
        <f t="shared" si="0"/>
        <v>0.14285714285714285</v>
      </c>
      <c r="J31" s="3" t="str">
        <f t="shared" si="1"/>
        <v>در حال اجرا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ht="15" x14ac:dyDescent="0.2">
      <c r="A32" s="3" t="s">
        <v>61</v>
      </c>
      <c r="B32" s="3" t="s">
        <v>69</v>
      </c>
      <c r="C32" s="3" t="s">
        <v>31</v>
      </c>
      <c r="D32" s="3" t="s">
        <v>31</v>
      </c>
      <c r="E32" s="3" t="s">
        <v>31</v>
      </c>
      <c r="F32" s="3" t="s">
        <v>31</v>
      </c>
      <c r="G32" s="3" t="s">
        <v>31</v>
      </c>
      <c r="H32" s="3" t="s">
        <v>31</v>
      </c>
      <c r="I32" s="6">
        <f t="shared" si="0"/>
        <v>0.14285714285714285</v>
      </c>
      <c r="J32" s="3" t="str">
        <f t="shared" si="1"/>
        <v>در حال اجرا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autoFilter ref="A1:X32" xr:uid="{00000000-0009-0000-0000-000001000000}"/>
  <dataValidations count="2">
    <dataValidation type="list" showInputMessage="1" showErrorMessage="1" errorTitle="وضعیت نامعتبر" error="فقط یکی از سه گزینه «انجام نشده»، «در حال اجرا» یا «انجام شد» را انتخاب کنید." promptTitle="وضعیت گام" prompt="وضعیت این گام را انتخاب کنید." sqref="B2:H32" xr:uid="{BE97FAB3-C144-432A-8A84-DFDA742E8751}">
      <formula1>"انجام نشده,در حال اجرا,انجام شد"</formula1>
    </dataValidation>
    <dataValidation type="list" allowBlank="1" showErrorMessage="1" errorTitle="مقدار نامعتبر" error="فقط «دارد» یا «ندارد» را انتخاب کنید." sqref="K2:K32" xr:uid="{991622D0-9F35-47BC-A9CF-8A2353E3182F}">
      <formula1>"دارد,ندارد"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9"/>
  <sheetViews>
    <sheetView workbookViewId="0"/>
  </sheetViews>
  <sheetFormatPr defaultRowHeight="14.25" x14ac:dyDescent="0.2"/>
  <sheetData>
    <row r="1" spans="1:1" ht="20.25" x14ac:dyDescent="0.3">
      <c r="A1" s="4" t="s">
        <v>62</v>
      </c>
    </row>
    <row r="3" spans="1:1" ht="199.5" x14ac:dyDescent="0.2">
      <c r="A3" s="5" t="s">
        <v>63</v>
      </c>
    </row>
    <row r="4" spans="1:1" ht="114" x14ac:dyDescent="0.2">
      <c r="A4" s="5" t="s">
        <v>64</v>
      </c>
    </row>
    <row r="5" spans="1:1" ht="128.25" x14ac:dyDescent="0.2">
      <c r="A5" s="5" t="s">
        <v>65</v>
      </c>
    </row>
    <row r="6" spans="1:1" ht="99.75" x14ac:dyDescent="0.2">
      <c r="A6" s="5" t="s">
        <v>66</v>
      </c>
    </row>
    <row r="7" spans="1:1" ht="114" x14ac:dyDescent="0.2">
      <c r="A7" s="5" t="s">
        <v>67</v>
      </c>
    </row>
    <row r="9" spans="1:1" ht="114" x14ac:dyDescent="0.2">
      <c r="A9" s="5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آمار کلان</vt:lpstr>
      <vt:lpstr>اطلاعات استان‌ها</vt:lpstr>
      <vt:lpstr>راهنمای ورود اطلاعات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MASHAR1542</cp:lastModifiedBy>
  <dcterms:created xsi:type="dcterms:W3CDTF">2026-08-16T07:00:52Z</dcterms:created>
  <dcterms:modified xsi:type="dcterms:W3CDTF">2026-08-16T07:19:00Z</dcterms:modified>
</cp:coreProperties>
</file>