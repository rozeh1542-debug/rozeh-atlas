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MASHAR1542\Downloads\"/>
    </mc:Choice>
  </mc:AlternateContent>
  <xr:revisionPtr revIDLastSave="0" documentId="8_{6DAA5719-CEB2-42DF-987F-F2B59E1AB037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اطلاعات استان‌ها" sheetId="1" r:id="rId1"/>
    <sheet name="راهنمای ورود اطلاعات" sheetId="2" r:id="rId2"/>
    <sheet name="مرجع مراحل و وضعیت‌ها" sheetId="3" r:id="rId3"/>
  </sheets>
  <definedNames>
    <definedName name="_xlnm._FilterDatabase" localSheetId="0" hidden="1">'اطلاعات استان‌ها'!$A$1:$X$32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2" i="1" l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J25" i="1"/>
  <c r="I25" i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/>
  <c r="J11" i="1" s="1"/>
  <c r="I10" i="1"/>
  <c r="J10" i="1" s="1"/>
  <c r="I9" i="1"/>
  <c r="J9" i="1" s="1"/>
  <c r="I8" i="1"/>
  <c r="J8" i="1" s="1"/>
  <c r="I7" i="1"/>
  <c r="J7" i="1" s="1"/>
  <c r="I6" i="1"/>
  <c r="J6" i="1" s="1"/>
  <c r="I5" i="1"/>
  <c r="J5" i="1" s="1"/>
  <c r="I4" i="1"/>
  <c r="J4" i="1" s="1"/>
  <c r="I3" i="1"/>
  <c r="J3" i="1" s="1"/>
  <c r="I2" i="1"/>
  <c r="J2" i="1" s="1"/>
</calcChain>
</file>

<file path=xl/sharedStrings.xml><?xml version="1.0" encoding="utf-8"?>
<sst xmlns="http://schemas.openxmlformats.org/spreadsheetml/2006/main" count="379" uniqueCount="98">
  <si>
    <t>استان</t>
  </si>
  <si>
    <t>گام ۱ - شناسایی فعالان</t>
  </si>
  <si>
    <t>گام ۲ - رابط استانی</t>
  </si>
  <si>
    <t>گام ۳ - رابط شهرستانی</t>
  </si>
  <si>
    <t>گام ۴ - همایش استانی</t>
  </si>
  <si>
    <t>گام ۵ - توانمندسازی</t>
  </si>
  <si>
    <t>گام ۶ - اقدام و استمرار</t>
  </si>
  <si>
    <t>گام ۷ - ارزیابی و توسعه</t>
  </si>
  <si>
    <t>درصد پیشرفت کلی</t>
  </si>
  <si>
    <t>وضعیت کلی</t>
  </si>
  <si>
    <t>تعداد فعالان</t>
  </si>
  <si>
    <t>تعداد شهرستان‌های فعال</t>
  </si>
  <si>
    <t>رابط استانی</t>
  </si>
  <si>
    <t>تعداد رابطان شهرستانی</t>
  </si>
  <si>
    <t>تعداد هیأت‌های واردشده</t>
  </si>
  <si>
    <t>تعداد روضه‌های برگزارشده</t>
  </si>
  <si>
    <t>تعداد محله‌های درگیر</t>
  </si>
  <si>
    <t>تعداد مخاطبان</t>
  </si>
  <si>
    <t>تعداد خانواده‌های مشارکت‌کننده</t>
  </si>
  <si>
    <t>آخرین اقدام</t>
  </si>
  <si>
    <t>آخرین به‌روزرسانی</t>
  </si>
  <si>
    <t>مسائل و موانع</t>
  </si>
  <si>
    <t>اقدام بعدی</t>
  </si>
  <si>
    <t>توضیحات</t>
  </si>
  <si>
    <t>آذربایجان شرقی</t>
  </si>
  <si>
    <t>انجام نشده</t>
  </si>
  <si>
    <t>آذربایجان غربی</t>
  </si>
  <si>
    <t>اردبیل</t>
  </si>
  <si>
    <t>اصفهان</t>
  </si>
  <si>
    <t>البرز</t>
  </si>
  <si>
    <t>ایلام</t>
  </si>
  <si>
    <t>بوشهر</t>
  </si>
  <si>
    <t>تهران</t>
  </si>
  <si>
    <t>چهارمحال و بختیاری</t>
  </si>
  <si>
    <t>خراسان جنوبی</t>
  </si>
  <si>
    <t>خراسان رضوی</t>
  </si>
  <si>
    <t>خراسان شمالی</t>
  </si>
  <si>
    <t>خوزستان</t>
  </si>
  <si>
    <t>زنجان</t>
  </si>
  <si>
    <t>سمنان</t>
  </si>
  <si>
    <t>سیستان و بلوچستان</t>
  </si>
  <si>
    <t>فارس</t>
  </si>
  <si>
    <t>قزوین</t>
  </si>
  <si>
    <t>قم</t>
  </si>
  <si>
    <t>کردستان</t>
  </si>
  <si>
    <t>کرمان</t>
  </si>
  <si>
    <t>کرمانشاه</t>
  </si>
  <si>
    <t>کهگیلویه و بویراحمد</t>
  </si>
  <si>
    <t>گلستان</t>
  </si>
  <si>
    <t>گیلان</t>
  </si>
  <si>
    <t>لرستان</t>
  </si>
  <si>
    <t>مازندران</t>
  </si>
  <si>
    <t>مرکزی</t>
  </si>
  <si>
    <t>هرمزگان</t>
  </si>
  <si>
    <t>همدان</t>
  </si>
  <si>
    <t>یزد</t>
  </si>
  <si>
    <t>راهنمای تکمیل فایل اطلس پیشرفت طرح احیای روضه‌های خانگی</t>
  </si>
  <si>
    <t>ردیف</t>
  </si>
  <si>
    <t>دستورالعمل</t>
  </si>
  <si>
    <t>۱</t>
  </si>
  <si>
    <t>ستون «استان» را تغییر ندهید. نام ۳۱ استان از قبل آماده شده است.</t>
  </si>
  <si>
    <t>۲</t>
  </si>
  <si>
    <t>برای هر یک از ۷ گام فقط یکی از سه وضعیت را انتخاب کنید: «انجام نشده»، «در حال اجرا»، «انجام شد».</t>
  </si>
  <si>
    <t>۳</t>
  </si>
  <si>
    <t>«انجام نشده» در محاسبه = ۰٪، «در حال اجرا» = ۵۰٪ و «انجام شد» = ۱۰۰٪ در نظر گرفته می‌شود.</t>
  </si>
  <si>
    <t>۴</t>
  </si>
  <si>
    <t>اگر برای یک مرحله درصد دقیق دارید، این نسخه داشبورد آن را از وضعیت سه‌گانه تشخیص نمی‌دهد؛ در صورت نیاز می‌توانیم ستون درصد جداگانه برای هر مرحله اضافه کنیم.</t>
  </si>
  <si>
    <t>۵</t>
  </si>
  <si>
    <t>ستون «درصد پیشرفت کلی» به‌صورت خودکار از ۷ گام محاسبه می‌شود؛ آن را دستی تغییر ندهید.</t>
  </si>
  <si>
    <t>۶</t>
  </si>
  <si>
    <t>فیلدهای آماری و توضیحی مانند تعداد فعالان، هیأت‌ها، روضه‌ها، موانع و اقدام بعدی اختیاری هستند؛ اگر داده ندارید خالی بگذارید.</t>
  </si>
  <si>
    <t>۷</t>
  </si>
  <si>
    <t>برای اینکه داشبورد اطلاعات را «ثبت‌نشده» تشخیص دهد، استان باید در فایل وجود داشته باشد اما مراحل آن خالی باشند. در این الگو همه استان‌ها وجود دارند و وضعیت اولیه آن‌ها «انجام نشده» است.</t>
  </si>
  <si>
    <t>۸</t>
  </si>
  <si>
    <t>بعد از تکمیل فایل، آن را با فرمت XLSX ذخیره کنید و در داشبورد از دکمه «بارگذاری فایل Excel» انتخاب کنید.</t>
  </si>
  <si>
    <t>کد</t>
  </si>
  <si>
    <t>عنوان رسمی مرحله</t>
  </si>
  <si>
    <t>وضعیت مجاز</t>
  </si>
  <si>
    <t>معادل محاسباتی</t>
  </si>
  <si>
    <t>گام ۱</t>
  </si>
  <si>
    <t>شناسایی ملی فعالان روضه خانگی</t>
  </si>
  <si>
    <t>۰٪</t>
  </si>
  <si>
    <t>در حال اجرا</t>
  </si>
  <si>
    <t>۵۰٪</t>
  </si>
  <si>
    <t>انجام شد</t>
  </si>
  <si>
    <t>۱۰۰٪</t>
  </si>
  <si>
    <t>گام ۲</t>
  </si>
  <si>
    <t>انتخاب رابط استانی روضه خانگی</t>
  </si>
  <si>
    <t>گام ۳</t>
  </si>
  <si>
    <t>انتخاب رابط شهرستانی روضه خانگی</t>
  </si>
  <si>
    <t>گام ۴</t>
  </si>
  <si>
    <t>همایش استانی خادمان شبکه روضه خانگی</t>
  </si>
  <si>
    <t>گام ۵</t>
  </si>
  <si>
    <t>توانمندسازی خادمین روضه خانگی و هیأت‌های فعال</t>
  </si>
  <si>
    <t>گام ۶</t>
  </si>
  <si>
    <t>اقدام و استمرار روضه‌های خانگی در محلات</t>
  </si>
  <si>
    <t>گام ۷</t>
  </si>
  <si>
    <t>ارزیابی و توسعه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</si>
</sst>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rial"/>
      <family val="2"/>
      <scheme val="minor"/>
    </font>
    <font>
      <b/>
      <sz val="10"/>
      <color rgb="FFFFFFFF"/>
      <name val="Tahoma"/>
    </font>
    <font>
      <sz val="10"/>
      <color rgb="FF20342D"/>
      <name val="Tahoma"/>
    </font>
    <font>
      <b/>
      <sz val="16"/>
      <color rgb="FFFFFFFF"/>
      <name val="Tahoma"/>
    </font>
    <font>
      <b/>
      <sz val="11"/>
      <color rgb="FFFFFFFF"/>
      <name val="Tahoma"/>
    </font>
    <font>
      <sz val="11"/>
      <color rgb="FF20342D"/>
      <name val="Tahoma"/>
    </font>
    <font>
      <sz val="10"/>
      <name val="Tahoma"/>
    </font>
  </fonts>
  <fills count="5">
    <fill>
      <patternFill patternType="none"/>
    </fill>
    <fill>
      <patternFill patternType="gray125"/>
    </fill>
    <fill>
      <patternFill patternType="solid">
        <fgColor rgb="FF174C3C"/>
      </patternFill>
    </fill>
    <fill>
      <patternFill patternType="solid">
        <fgColor rgb="FFFCFAF4"/>
      </patternFill>
    </fill>
    <fill>
      <patternFill patternType="solid">
        <fgColor rgb="FF28705A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C49A48"/>
      </bottom>
      <diagonal/>
    </border>
    <border>
      <left style="hair">
        <color rgb="FFD8CCB6"/>
      </left>
      <right style="hair">
        <color rgb="FFD8CCB6"/>
      </right>
      <top style="hair">
        <color rgb="FFD8CCB6"/>
      </top>
      <bottom style="hair">
        <color rgb="FFD8CCB6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9" fontId="2" fillId="3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9" fontId="2" fillId="0" borderId="2" xfId="0" applyNumberFormat="1" applyFont="1" applyBorder="1" applyAlignment="1">
      <alignment horizontal="center" vertical="center" wrapText="1"/>
    </xf>
    <xf numFmtId="0" fontId="4" fillId="4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top"/>
    </xf>
    <xf numFmtId="0" fontId="5" fillId="3" borderId="0" xfId="0" applyFont="1" applyFill="1" applyAlignment="1">
      <alignment horizontal="right" vertical="top" wrapText="1"/>
    </xf>
    <xf numFmtId="0" fontId="5" fillId="0" borderId="0" xfId="0" applyFont="1" applyAlignment="1">
      <alignment horizontal="center" vertical="top"/>
    </xf>
    <xf numFmtId="0" fontId="5" fillId="0" borderId="0" xfId="0" applyFont="1" applyAlignment="1">
      <alignment horizontal="right" vertical="top" wrapText="1"/>
    </xf>
    <xf numFmtId="0" fontId="4" fillId="2" borderId="0" xfId="0" applyFont="1" applyFill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2"/>
  <sheetViews>
    <sheetView rightToLeft="1" tabSelected="1" workbookViewId="0">
      <pane xSplit="1" ySplit="1" topLeftCell="B2" activePane="bottomRight" state="frozen"/>
      <selection pane="topRight"/>
      <selection pane="bottomLeft"/>
      <selection pane="bottomRight" activeCell="B2" sqref="B2:B32"/>
    </sheetView>
  </sheetViews>
  <sheetFormatPr defaultRowHeight="14.25" x14ac:dyDescent="0.2"/>
  <cols>
    <col min="1" max="1" width="22" customWidth="1"/>
    <col min="2" max="2" width="23" customWidth="1"/>
    <col min="3" max="3" width="21" customWidth="1"/>
    <col min="4" max="4" width="23" customWidth="1"/>
    <col min="5" max="6" width="24" customWidth="1"/>
    <col min="7" max="7" width="26" customWidth="1"/>
    <col min="8" max="8" width="24" customWidth="1"/>
    <col min="9" max="10" width="18" customWidth="1"/>
    <col min="11" max="11" width="15" customWidth="1"/>
    <col min="12" max="12" width="19" customWidth="1"/>
    <col min="13" max="13" width="17" customWidth="1"/>
    <col min="14" max="16" width="21" customWidth="1"/>
    <col min="17" max="17" width="19" customWidth="1"/>
    <col min="18" max="18" width="18" customWidth="1"/>
    <col min="19" max="19" width="22" customWidth="1"/>
    <col min="20" max="20" width="26" customWidth="1"/>
    <col min="21" max="21" width="22" customWidth="1"/>
    <col min="22" max="22" width="26" customWidth="1"/>
    <col min="23" max="23" width="22" customWidth="1"/>
    <col min="24" max="24" width="28" customWidth="1"/>
  </cols>
  <sheetData>
    <row r="1" spans="1:24" ht="42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ht="30" customHeight="1" x14ac:dyDescent="0.2">
      <c r="A2" s="2" t="s">
        <v>24</v>
      </c>
      <c r="B2" s="2" t="s">
        <v>84</v>
      </c>
      <c r="C2" s="2" t="s">
        <v>25</v>
      </c>
      <c r="D2" s="2" t="s">
        <v>25</v>
      </c>
      <c r="E2" s="2" t="s">
        <v>25</v>
      </c>
      <c r="F2" s="2" t="s">
        <v>25</v>
      </c>
      <c r="G2" s="2" t="s">
        <v>25</v>
      </c>
      <c r="H2" s="2" t="s">
        <v>25</v>
      </c>
      <c r="I2" s="3">
        <f t="shared" ref="I2:I32" si="0">COUNTIF(B2:H2,"انجام شد")/7+COUNTIF(B2:H2,"در حال اجرا")/14</f>
        <v>0.14285714285714285</v>
      </c>
      <c r="J2" s="2" t="str">
        <f t="shared" ref="J2:J32" si="1">IF(I2=1,"تکمیل‌شده",IF(I2&gt;0,"در حال اجرا","شروع نشده"))</f>
        <v>در حال اجرا</v>
      </c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spans="1:24" ht="30" customHeight="1" x14ac:dyDescent="0.2">
      <c r="A3" s="4" t="s">
        <v>26</v>
      </c>
      <c r="B3" s="2" t="s">
        <v>84</v>
      </c>
      <c r="C3" s="4" t="s">
        <v>25</v>
      </c>
      <c r="D3" s="4" t="s">
        <v>25</v>
      </c>
      <c r="E3" s="4" t="s">
        <v>25</v>
      </c>
      <c r="F3" s="4" t="s">
        <v>25</v>
      </c>
      <c r="G3" s="4" t="s">
        <v>25</v>
      </c>
      <c r="H3" s="4" t="s">
        <v>25</v>
      </c>
      <c r="I3" s="5">
        <f t="shared" si="0"/>
        <v>0.14285714285714285</v>
      </c>
      <c r="J3" s="4" t="str">
        <f t="shared" si="1"/>
        <v>در حال اجرا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</row>
    <row r="4" spans="1:24" ht="30" customHeight="1" x14ac:dyDescent="0.2">
      <c r="A4" s="2" t="s">
        <v>27</v>
      </c>
      <c r="B4" s="2" t="s">
        <v>84</v>
      </c>
      <c r="C4" s="2" t="s">
        <v>25</v>
      </c>
      <c r="D4" s="2" t="s">
        <v>25</v>
      </c>
      <c r="E4" s="2" t="s">
        <v>25</v>
      </c>
      <c r="F4" s="2" t="s">
        <v>25</v>
      </c>
      <c r="G4" s="2" t="s">
        <v>25</v>
      </c>
      <c r="H4" s="2" t="s">
        <v>25</v>
      </c>
      <c r="I4" s="3">
        <f t="shared" si="0"/>
        <v>0.14285714285714285</v>
      </c>
      <c r="J4" s="2" t="str">
        <f t="shared" si="1"/>
        <v>در حال اجرا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 spans="1:24" ht="30" customHeight="1" x14ac:dyDescent="0.2">
      <c r="A5" s="4" t="s">
        <v>28</v>
      </c>
      <c r="B5" s="2" t="s">
        <v>84</v>
      </c>
      <c r="C5" s="4" t="s">
        <v>25</v>
      </c>
      <c r="D5" s="4" t="s">
        <v>25</v>
      </c>
      <c r="E5" s="4" t="s">
        <v>25</v>
      </c>
      <c r="F5" s="4" t="s">
        <v>25</v>
      </c>
      <c r="G5" s="4" t="s">
        <v>25</v>
      </c>
      <c r="H5" s="4" t="s">
        <v>25</v>
      </c>
      <c r="I5" s="5">
        <f t="shared" si="0"/>
        <v>0.14285714285714285</v>
      </c>
      <c r="J5" s="4" t="str">
        <f t="shared" si="1"/>
        <v>در حال اجرا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</row>
    <row r="6" spans="1:24" ht="30" customHeight="1" x14ac:dyDescent="0.2">
      <c r="A6" s="2" t="s">
        <v>29</v>
      </c>
      <c r="B6" s="2" t="s">
        <v>84</v>
      </c>
      <c r="C6" s="2" t="s">
        <v>25</v>
      </c>
      <c r="D6" s="2" t="s">
        <v>25</v>
      </c>
      <c r="E6" s="2" t="s">
        <v>25</v>
      </c>
      <c r="F6" s="2" t="s">
        <v>25</v>
      </c>
      <c r="G6" s="2" t="s">
        <v>25</v>
      </c>
      <c r="H6" s="2" t="s">
        <v>25</v>
      </c>
      <c r="I6" s="3">
        <f t="shared" si="0"/>
        <v>0.14285714285714285</v>
      </c>
      <c r="J6" s="2" t="str">
        <f t="shared" si="1"/>
        <v>در حال اجرا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4" ht="30" customHeight="1" x14ac:dyDescent="0.2">
      <c r="A7" s="4" t="s">
        <v>30</v>
      </c>
      <c r="B7" s="2" t="s">
        <v>84</v>
      </c>
      <c r="C7" s="4" t="s">
        <v>25</v>
      </c>
      <c r="D7" s="4" t="s">
        <v>25</v>
      </c>
      <c r="E7" s="4" t="s">
        <v>25</v>
      </c>
      <c r="F7" s="4" t="s">
        <v>25</v>
      </c>
      <c r="G7" s="4" t="s">
        <v>25</v>
      </c>
      <c r="H7" s="4" t="s">
        <v>25</v>
      </c>
      <c r="I7" s="5">
        <f t="shared" si="0"/>
        <v>0.14285714285714285</v>
      </c>
      <c r="J7" s="4" t="str">
        <f t="shared" si="1"/>
        <v>در حال اجرا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</row>
    <row r="8" spans="1:24" ht="30" customHeight="1" x14ac:dyDescent="0.2">
      <c r="A8" s="2" t="s">
        <v>31</v>
      </c>
      <c r="B8" s="2" t="s">
        <v>84</v>
      </c>
      <c r="C8" s="2" t="s">
        <v>25</v>
      </c>
      <c r="D8" s="2" t="s">
        <v>25</v>
      </c>
      <c r="E8" s="2" t="s">
        <v>25</v>
      </c>
      <c r="F8" s="2" t="s">
        <v>25</v>
      </c>
      <c r="G8" s="2" t="s">
        <v>25</v>
      </c>
      <c r="H8" s="2" t="s">
        <v>25</v>
      </c>
      <c r="I8" s="3">
        <f t="shared" si="0"/>
        <v>0.14285714285714285</v>
      </c>
      <c r="J8" s="2" t="str">
        <f t="shared" si="1"/>
        <v>در حال اجرا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4" ht="30" customHeight="1" x14ac:dyDescent="0.2">
      <c r="A9" s="4" t="s">
        <v>32</v>
      </c>
      <c r="B9" s="2" t="s">
        <v>84</v>
      </c>
      <c r="C9" s="4" t="s">
        <v>25</v>
      </c>
      <c r="D9" s="4" t="s">
        <v>25</v>
      </c>
      <c r="E9" s="4" t="s">
        <v>25</v>
      </c>
      <c r="F9" s="4" t="s">
        <v>25</v>
      </c>
      <c r="G9" s="4" t="s">
        <v>25</v>
      </c>
      <c r="H9" s="4" t="s">
        <v>25</v>
      </c>
      <c r="I9" s="5">
        <f t="shared" si="0"/>
        <v>0.14285714285714285</v>
      </c>
      <c r="J9" s="4" t="str">
        <f t="shared" si="1"/>
        <v>در حال اجرا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</row>
    <row r="10" spans="1:24" ht="30" customHeight="1" x14ac:dyDescent="0.2">
      <c r="A10" s="2" t="s">
        <v>33</v>
      </c>
      <c r="B10" s="2" t="s">
        <v>84</v>
      </c>
      <c r="C10" s="2" t="s">
        <v>25</v>
      </c>
      <c r="D10" s="2" t="s">
        <v>25</v>
      </c>
      <c r="E10" s="2" t="s">
        <v>25</v>
      </c>
      <c r="F10" s="2" t="s">
        <v>25</v>
      </c>
      <c r="G10" s="2" t="s">
        <v>25</v>
      </c>
      <c r="H10" s="2" t="s">
        <v>25</v>
      </c>
      <c r="I10" s="3">
        <f t="shared" si="0"/>
        <v>0.14285714285714285</v>
      </c>
      <c r="J10" s="2" t="str">
        <f t="shared" si="1"/>
        <v>در حال اجرا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4" ht="30" customHeight="1" x14ac:dyDescent="0.2">
      <c r="A11" s="4" t="s">
        <v>34</v>
      </c>
      <c r="B11" s="2" t="s">
        <v>84</v>
      </c>
      <c r="C11" s="4" t="s">
        <v>25</v>
      </c>
      <c r="D11" s="4" t="s">
        <v>25</v>
      </c>
      <c r="E11" s="4" t="s">
        <v>25</v>
      </c>
      <c r="F11" s="4" t="s">
        <v>25</v>
      </c>
      <c r="G11" s="4" t="s">
        <v>25</v>
      </c>
      <c r="H11" s="4" t="s">
        <v>25</v>
      </c>
      <c r="I11" s="5">
        <f t="shared" si="0"/>
        <v>0.14285714285714285</v>
      </c>
      <c r="J11" s="4" t="str">
        <f t="shared" si="1"/>
        <v>در حال اجرا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</row>
    <row r="12" spans="1:24" ht="30" customHeight="1" x14ac:dyDescent="0.2">
      <c r="A12" s="2" t="s">
        <v>35</v>
      </c>
      <c r="B12" s="2" t="s">
        <v>84</v>
      </c>
      <c r="C12" s="2" t="s">
        <v>25</v>
      </c>
      <c r="D12" s="2" t="s">
        <v>25</v>
      </c>
      <c r="E12" s="2" t="s">
        <v>25</v>
      </c>
      <c r="F12" s="2" t="s">
        <v>25</v>
      </c>
      <c r="G12" s="2" t="s">
        <v>25</v>
      </c>
      <c r="H12" s="2" t="s">
        <v>25</v>
      </c>
      <c r="I12" s="3">
        <f t="shared" si="0"/>
        <v>0.14285714285714285</v>
      </c>
      <c r="J12" s="2" t="str">
        <f t="shared" si="1"/>
        <v>در حال اجرا</v>
      </c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4" ht="30" customHeight="1" x14ac:dyDescent="0.2">
      <c r="A13" s="4" t="s">
        <v>36</v>
      </c>
      <c r="B13" s="2" t="s">
        <v>84</v>
      </c>
      <c r="C13" s="4" t="s">
        <v>25</v>
      </c>
      <c r="D13" s="4" t="s">
        <v>25</v>
      </c>
      <c r="E13" s="4" t="s">
        <v>25</v>
      </c>
      <c r="F13" s="4" t="s">
        <v>25</v>
      </c>
      <c r="G13" s="4" t="s">
        <v>25</v>
      </c>
      <c r="H13" s="4" t="s">
        <v>25</v>
      </c>
      <c r="I13" s="5">
        <f t="shared" si="0"/>
        <v>0.14285714285714285</v>
      </c>
      <c r="J13" s="4" t="str">
        <f t="shared" si="1"/>
        <v>در حال اجرا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</row>
    <row r="14" spans="1:24" ht="30" customHeight="1" x14ac:dyDescent="0.2">
      <c r="A14" s="2" t="s">
        <v>37</v>
      </c>
      <c r="B14" s="2" t="s">
        <v>84</v>
      </c>
      <c r="C14" s="2" t="s">
        <v>25</v>
      </c>
      <c r="D14" s="2" t="s">
        <v>25</v>
      </c>
      <c r="E14" s="2" t="s">
        <v>25</v>
      </c>
      <c r="F14" s="2" t="s">
        <v>25</v>
      </c>
      <c r="G14" s="2" t="s">
        <v>25</v>
      </c>
      <c r="H14" s="2" t="s">
        <v>25</v>
      </c>
      <c r="I14" s="3">
        <f t="shared" si="0"/>
        <v>0.14285714285714285</v>
      </c>
      <c r="J14" s="2" t="str">
        <f t="shared" si="1"/>
        <v>در حال اجرا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4" ht="30" customHeight="1" x14ac:dyDescent="0.2">
      <c r="A15" s="4" t="s">
        <v>38</v>
      </c>
      <c r="B15" s="2" t="s">
        <v>84</v>
      </c>
      <c r="C15" s="4" t="s">
        <v>25</v>
      </c>
      <c r="D15" s="4" t="s">
        <v>25</v>
      </c>
      <c r="E15" s="4" t="s">
        <v>25</v>
      </c>
      <c r="F15" s="4" t="s">
        <v>25</v>
      </c>
      <c r="G15" s="4" t="s">
        <v>25</v>
      </c>
      <c r="H15" s="4" t="s">
        <v>25</v>
      </c>
      <c r="I15" s="5">
        <f t="shared" si="0"/>
        <v>0.14285714285714285</v>
      </c>
      <c r="J15" s="4" t="str">
        <f t="shared" si="1"/>
        <v>در حال اجرا</v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</row>
    <row r="16" spans="1:24" ht="30" customHeight="1" x14ac:dyDescent="0.2">
      <c r="A16" s="2" t="s">
        <v>39</v>
      </c>
      <c r="B16" s="2" t="s">
        <v>84</v>
      </c>
      <c r="C16" s="2" t="s">
        <v>25</v>
      </c>
      <c r="D16" s="2" t="s">
        <v>25</v>
      </c>
      <c r="E16" s="2" t="s">
        <v>25</v>
      </c>
      <c r="F16" s="2" t="s">
        <v>25</v>
      </c>
      <c r="G16" s="2" t="s">
        <v>25</v>
      </c>
      <c r="H16" s="2" t="s">
        <v>25</v>
      </c>
      <c r="I16" s="3">
        <f t="shared" si="0"/>
        <v>0.14285714285714285</v>
      </c>
      <c r="J16" s="2" t="str">
        <f t="shared" si="1"/>
        <v>در حال اجرا</v>
      </c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ht="30" customHeight="1" x14ac:dyDescent="0.2">
      <c r="A17" s="4" t="s">
        <v>40</v>
      </c>
      <c r="B17" s="2" t="s">
        <v>84</v>
      </c>
      <c r="C17" s="4" t="s">
        <v>25</v>
      </c>
      <c r="D17" s="4" t="s">
        <v>25</v>
      </c>
      <c r="E17" s="4" t="s">
        <v>25</v>
      </c>
      <c r="F17" s="4" t="s">
        <v>25</v>
      </c>
      <c r="G17" s="4" t="s">
        <v>25</v>
      </c>
      <c r="H17" s="4" t="s">
        <v>25</v>
      </c>
      <c r="I17" s="5">
        <f t="shared" si="0"/>
        <v>0.14285714285714285</v>
      </c>
      <c r="J17" s="4" t="str">
        <f t="shared" si="1"/>
        <v>در حال اجرا</v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 ht="30" customHeight="1" x14ac:dyDescent="0.2">
      <c r="A18" s="2" t="s">
        <v>41</v>
      </c>
      <c r="B18" s="2" t="s">
        <v>84</v>
      </c>
      <c r="C18" s="2" t="s">
        <v>25</v>
      </c>
      <c r="D18" s="2" t="s">
        <v>25</v>
      </c>
      <c r="E18" s="2" t="s">
        <v>25</v>
      </c>
      <c r="F18" s="2" t="s">
        <v>25</v>
      </c>
      <c r="G18" s="2" t="s">
        <v>25</v>
      </c>
      <c r="H18" s="2" t="s">
        <v>25</v>
      </c>
      <c r="I18" s="3">
        <f t="shared" si="0"/>
        <v>0.14285714285714285</v>
      </c>
      <c r="J18" s="2" t="str">
        <f t="shared" si="1"/>
        <v>در حال اجرا</v>
      </c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ht="30" customHeight="1" x14ac:dyDescent="0.2">
      <c r="A19" s="4" t="s">
        <v>42</v>
      </c>
      <c r="B19" s="2" t="s">
        <v>84</v>
      </c>
      <c r="C19" s="4" t="s">
        <v>25</v>
      </c>
      <c r="D19" s="4" t="s">
        <v>25</v>
      </c>
      <c r="E19" s="4" t="s">
        <v>25</v>
      </c>
      <c r="F19" s="4" t="s">
        <v>25</v>
      </c>
      <c r="G19" s="4" t="s">
        <v>25</v>
      </c>
      <c r="H19" s="4" t="s">
        <v>25</v>
      </c>
      <c r="I19" s="5">
        <f t="shared" si="0"/>
        <v>0.14285714285714285</v>
      </c>
      <c r="J19" s="4" t="str">
        <f t="shared" si="1"/>
        <v>در حال اجرا</v>
      </c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ht="30" customHeight="1" x14ac:dyDescent="0.2">
      <c r="A20" s="2" t="s">
        <v>43</v>
      </c>
      <c r="B20" s="2" t="s">
        <v>84</v>
      </c>
      <c r="C20" s="2" t="s">
        <v>25</v>
      </c>
      <c r="D20" s="2" t="s">
        <v>25</v>
      </c>
      <c r="E20" s="2" t="s">
        <v>25</v>
      </c>
      <c r="F20" s="2" t="s">
        <v>25</v>
      </c>
      <c r="G20" s="2" t="s">
        <v>25</v>
      </c>
      <c r="H20" s="2" t="s">
        <v>25</v>
      </c>
      <c r="I20" s="3">
        <f t="shared" si="0"/>
        <v>0.14285714285714285</v>
      </c>
      <c r="J20" s="2" t="str">
        <f t="shared" si="1"/>
        <v>در حال اجرا</v>
      </c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ht="30" customHeight="1" x14ac:dyDescent="0.2">
      <c r="A21" s="4" t="s">
        <v>44</v>
      </c>
      <c r="B21" s="2" t="s">
        <v>84</v>
      </c>
      <c r="C21" s="4" t="s">
        <v>25</v>
      </c>
      <c r="D21" s="4" t="s">
        <v>25</v>
      </c>
      <c r="E21" s="4" t="s">
        <v>25</v>
      </c>
      <c r="F21" s="4" t="s">
        <v>25</v>
      </c>
      <c r="G21" s="4" t="s">
        <v>25</v>
      </c>
      <c r="H21" s="4" t="s">
        <v>25</v>
      </c>
      <c r="I21" s="5">
        <f t="shared" si="0"/>
        <v>0.14285714285714285</v>
      </c>
      <c r="J21" s="4" t="str">
        <f t="shared" si="1"/>
        <v>در حال اجرا</v>
      </c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</row>
    <row r="22" spans="1:24" ht="30" customHeight="1" x14ac:dyDescent="0.2">
      <c r="A22" s="2" t="s">
        <v>45</v>
      </c>
      <c r="B22" s="2" t="s">
        <v>84</v>
      </c>
      <c r="C22" s="2" t="s">
        <v>25</v>
      </c>
      <c r="D22" s="2" t="s">
        <v>25</v>
      </c>
      <c r="E22" s="2" t="s">
        <v>25</v>
      </c>
      <c r="F22" s="2" t="s">
        <v>25</v>
      </c>
      <c r="G22" s="2" t="s">
        <v>25</v>
      </c>
      <c r="H22" s="2" t="s">
        <v>25</v>
      </c>
      <c r="I22" s="3">
        <f t="shared" si="0"/>
        <v>0.14285714285714285</v>
      </c>
      <c r="J22" s="2" t="str">
        <f t="shared" si="1"/>
        <v>در حال اجرا</v>
      </c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ht="30" customHeight="1" x14ac:dyDescent="0.2">
      <c r="A23" s="4" t="s">
        <v>46</v>
      </c>
      <c r="B23" s="2" t="s">
        <v>84</v>
      </c>
      <c r="C23" s="4" t="s">
        <v>25</v>
      </c>
      <c r="D23" s="4" t="s">
        <v>25</v>
      </c>
      <c r="E23" s="4" t="s">
        <v>25</v>
      </c>
      <c r="F23" s="4" t="s">
        <v>25</v>
      </c>
      <c r="G23" s="4" t="s">
        <v>25</v>
      </c>
      <c r="H23" s="4" t="s">
        <v>25</v>
      </c>
      <c r="I23" s="5">
        <f t="shared" si="0"/>
        <v>0.14285714285714285</v>
      </c>
      <c r="J23" s="4" t="str">
        <f t="shared" si="1"/>
        <v>در حال اجرا</v>
      </c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</row>
    <row r="24" spans="1:24" ht="30" customHeight="1" x14ac:dyDescent="0.2">
      <c r="A24" s="2" t="s">
        <v>47</v>
      </c>
      <c r="B24" s="2" t="s">
        <v>84</v>
      </c>
      <c r="C24" s="2" t="s">
        <v>25</v>
      </c>
      <c r="D24" s="2" t="s">
        <v>25</v>
      </c>
      <c r="E24" s="2" t="s">
        <v>25</v>
      </c>
      <c r="F24" s="2" t="s">
        <v>25</v>
      </c>
      <c r="G24" s="2" t="s">
        <v>25</v>
      </c>
      <c r="H24" s="2" t="s">
        <v>25</v>
      </c>
      <c r="I24" s="3">
        <f t="shared" si="0"/>
        <v>0.14285714285714285</v>
      </c>
      <c r="J24" s="2" t="str">
        <f t="shared" si="1"/>
        <v>در حال اجرا</v>
      </c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ht="30" customHeight="1" x14ac:dyDescent="0.2">
      <c r="A25" s="4" t="s">
        <v>48</v>
      </c>
      <c r="B25" s="2" t="s">
        <v>84</v>
      </c>
      <c r="C25" s="4" t="s">
        <v>25</v>
      </c>
      <c r="D25" s="4" t="s">
        <v>25</v>
      </c>
      <c r="E25" s="4" t="s">
        <v>25</v>
      </c>
      <c r="F25" s="4" t="s">
        <v>25</v>
      </c>
      <c r="G25" s="4" t="s">
        <v>25</v>
      </c>
      <c r="H25" s="4" t="s">
        <v>25</v>
      </c>
      <c r="I25" s="5">
        <f t="shared" si="0"/>
        <v>0.14285714285714285</v>
      </c>
      <c r="J25" s="4" t="str">
        <f t="shared" si="1"/>
        <v>در حال اجرا</v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</row>
    <row r="26" spans="1:24" ht="30" customHeight="1" x14ac:dyDescent="0.2">
      <c r="A26" s="2" t="s">
        <v>49</v>
      </c>
      <c r="B26" s="2" t="s">
        <v>84</v>
      </c>
      <c r="C26" s="2" t="s">
        <v>25</v>
      </c>
      <c r="D26" s="2" t="s">
        <v>25</v>
      </c>
      <c r="E26" s="2" t="s">
        <v>25</v>
      </c>
      <c r="F26" s="2" t="s">
        <v>25</v>
      </c>
      <c r="G26" s="2" t="s">
        <v>25</v>
      </c>
      <c r="H26" s="2" t="s">
        <v>25</v>
      </c>
      <c r="I26" s="3">
        <f t="shared" si="0"/>
        <v>0.14285714285714285</v>
      </c>
      <c r="J26" s="2" t="str">
        <f t="shared" si="1"/>
        <v>در حال اجرا</v>
      </c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ht="30" customHeight="1" x14ac:dyDescent="0.2">
      <c r="A27" s="4" t="s">
        <v>50</v>
      </c>
      <c r="B27" s="2" t="s">
        <v>84</v>
      </c>
      <c r="C27" s="4" t="s">
        <v>25</v>
      </c>
      <c r="D27" s="4" t="s">
        <v>25</v>
      </c>
      <c r="E27" s="4" t="s">
        <v>25</v>
      </c>
      <c r="F27" s="4" t="s">
        <v>25</v>
      </c>
      <c r="G27" s="4" t="s">
        <v>25</v>
      </c>
      <c r="H27" s="4" t="s">
        <v>25</v>
      </c>
      <c r="I27" s="5">
        <f t="shared" si="0"/>
        <v>0.14285714285714285</v>
      </c>
      <c r="J27" s="4" t="str">
        <f t="shared" si="1"/>
        <v>در حال اجرا</v>
      </c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</row>
    <row r="28" spans="1:24" ht="30" customHeight="1" x14ac:dyDescent="0.2">
      <c r="A28" s="2" t="s">
        <v>51</v>
      </c>
      <c r="B28" s="2" t="s">
        <v>84</v>
      </c>
      <c r="C28" s="2" t="s">
        <v>25</v>
      </c>
      <c r="D28" s="2" t="s">
        <v>25</v>
      </c>
      <c r="E28" s="2" t="s">
        <v>25</v>
      </c>
      <c r="F28" s="2" t="s">
        <v>25</v>
      </c>
      <c r="G28" s="2" t="s">
        <v>25</v>
      </c>
      <c r="H28" s="2" t="s">
        <v>25</v>
      </c>
      <c r="I28" s="3">
        <f t="shared" si="0"/>
        <v>0.14285714285714285</v>
      </c>
      <c r="J28" s="2" t="str">
        <f t="shared" si="1"/>
        <v>در حال اجرا</v>
      </c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ht="30" customHeight="1" x14ac:dyDescent="0.2">
      <c r="A29" s="4" t="s">
        <v>52</v>
      </c>
      <c r="B29" s="2" t="s">
        <v>84</v>
      </c>
      <c r="C29" s="4" t="s">
        <v>25</v>
      </c>
      <c r="D29" s="4" t="s">
        <v>25</v>
      </c>
      <c r="E29" s="4" t="s">
        <v>25</v>
      </c>
      <c r="F29" s="4" t="s">
        <v>25</v>
      </c>
      <c r="G29" s="4" t="s">
        <v>25</v>
      </c>
      <c r="H29" s="4" t="s">
        <v>25</v>
      </c>
      <c r="I29" s="5">
        <f t="shared" si="0"/>
        <v>0.14285714285714285</v>
      </c>
      <c r="J29" s="4" t="str">
        <f t="shared" si="1"/>
        <v>در حال اجرا</v>
      </c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</row>
    <row r="30" spans="1:24" ht="30" customHeight="1" x14ac:dyDescent="0.2">
      <c r="A30" s="2" t="s">
        <v>53</v>
      </c>
      <c r="B30" s="2" t="s">
        <v>84</v>
      </c>
      <c r="C30" s="2" t="s">
        <v>25</v>
      </c>
      <c r="D30" s="2" t="s">
        <v>25</v>
      </c>
      <c r="E30" s="2" t="s">
        <v>25</v>
      </c>
      <c r="F30" s="2" t="s">
        <v>25</v>
      </c>
      <c r="G30" s="2" t="s">
        <v>25</v>
      </c>
      <c r="H30" s="2" t="s">
        <v>25</v>
      </c>
      <c r="I30" s="3">
        <f t="shared" si="0"/>
        <v>0.14285714285714285</v>
      </c>
      <c r="J30" s="2" t="str">
        <f t="shared" si="1"/>
        <v>در حال اجرا</v>
      </c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ht="30" customHeight="1" x14ac:dyDescent="0.2">
      <c r="A31" s="4" t="s">
        <v>54</v>
      </c>
      <c r="B31" s="2" t="s">
        <v>84</v>
      </c>
      <c r="C31" s="4" t="s">
        <v>25</v>
      </c>
      <c r="D31" s="4" t="s">
        <v>25</v>
      </c>
      <c r="E31" s="4" t="s">
        <v>25</v>
      </c>
      <c r="F31" s="4" t="s">
        <v>25</v>
      </c>
      <c r="G31" s="4" t="s">
        <v>25</v>
      </c>
      <c r="H31" s="4" t="s">
        <v>25</v>
      </c>
      <c r="I31" s="5">
        <f t="shared" si="0"/>
        <v>0.14285714285714285</v>
      </c>
      <c r="J31" s="4" t="str">
        <f t="shared" si="1"/>
        <v>در حال اجرا</v>
      </c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</row>
    <row r="32" spans="1:24" ht="30" customHeight="1" x14ac:dyDescent="0.2">
      <c r="A32" s="2" t="s">
        <v>55</v>
      </c>
      <c r="B32" s="2" t="s">
        <v>84</v>
      </c>
      <c r="C32" s="2" t="s">
        <v>25</v>
      </c>
      <c r="D32" s="2" t="s">
        <v>25</v>
      </c>
      <c r="E32" s="2" t="s">
        <v>25</v>
      </c>
      <c r="F32" s="2" t="s">
        <v>25</v>
      </c>
      <c r="G32" s="2" t="s">
        <v>25</v>
      </c>
      <c r="H32" s="2" t="s">
        <v>25</v>
      </c>
      <c r="I32" s="3">
        <f t="shared" si="0"/>
        <v>0.14285714285714285</v>
      </c>
      <c r="J32" s="2" t="str">
        <f t="shared" si="1"/>
        <v>در حال اجرا</v>
      </c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</sheetData>
  <autoFilter ref="A1:X32" xr:uid="{00000000-0009-0000-0000-000000000000}"/>
  <conditionalFormatting sqref="I2:I32">
    <cfRule type="colorScale" priority="1">
      <colorScale>
        <cfvo type="num" val="0"/>
        <cfvo type="num" val="0.5"/>
        <cfvo type="num" val="1"/>
        <color rgb="FFE1E4E2"/>
        <color rgb="FFE0C16D"/>
        <color rgb="FF4B9B72"/>
      </colorScale>
    </cfRule>
  </conditionalFormatting>
  <dataValidations count="1">
    <dataValidation type="list" allowBlank="1" errorTitle="وضعیت نامعتبر" error="فقط یکی از سه وضعیت «انجام نشده»، «در حال اجرا» یا «انجام شد» را انتخاب کنید." promptTitle="وضعیت مرحله" prompt="وضعیت مرحله را انتخاب کنید." sqref="B2:H32" xr:uid="{00000000-0002-0000-0000-000000000000}">
      <formula1>"انجام نشده,در حال اجرا,انجام شد"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rightToLeft="1" workbookViewId="0"/>
  </sheetViews>
  <sheetFormatPr defaultRowHeight="14.25" x14ac:dyDescent="0.2"/>
  <cols>
    <col min="1" max="1" width="9" customWidth="1"/>
    <col min="2" max="2" width="110" customWidth="1"/>
  </cols>
  <sheetData>
    <row r="1" spans="1:6" x14ac:dyDescent="0.2">
      <c r="A1" s="13" t="s">
        <v>56</v>
      </c>
      <c r="B1" s="14"/>
      <c r="C1" s="14"/>
      <c r="D1" s="14"/>
      <c r="E1" s="14"/>
      <c r="F1" s="14"/>
    </row>
    <row r="2" spans="1:6" x14ac:dyDescent="0.2">
      <c r="A2" s="14"/>
      <c r="B2" s="14"/>
      <c r="C2" s="14"/>
      <c r="D2" s="14"/>
      <c r="E2" s="14"/>
      <c r="F2" s="14"/>
    </row>
    <row r="4" spans="1:6" x14ac:dyDescent="0.2">
      <c r="A4" s="6" t="s">
        <v>57</v>
      </c>
      <c r="B4" s="6" t="s">
        <v>58</v>
      </c>
    </row>
    <row r="5" spans="1:6" ht="42" customHeight="1" x14ac:dyDescent="0.2">
      <c r="A5" s="7" t="s">
        <v>59</v>
      </c>
      <c r="B5" s="8" t="s">
        <v>60</v>
      </c>
    </row>
    <row r="6" spans="1:6" ht="42" customHeight="1" x14ac:dyDescent="0.2">
      <c r="A6" s="9" t="s">
        <v>61</v>
      </c>
      <c r="B6" s="10" t="s">
        <v>62</v>
      </c>
    </row>
    <row r="7" spans="1:6" ht="42" customHeight="1" x14ac:dyDescent="0.2">
      <c r="A7" s="7" t="s">
        <v>63</v>
      </c>
      <c r="B7" s="8" t="s">
        <v>64</v>
      </c>
    </row>
    <row r="8" spans="1:6" ht="42" customHeight="1" x14ac:dyDescent="0.2">
      <c r="A8" s="9" t="s">
        <v>65</v>
      </c>
      <c r="B8" s="10" t="s">
        <v>66</v>
      </c>
    </row>
    <row r="9" spans="1:6" ht="42" customHeight="1" x14ac:dyDescent="0.2">
      <c r="A9" s="7" t="s">
        <v>67</v>
      </c>
      <c r="B9" s="8" t="s">
        <v>68</v>
      </c>
    </row>
    <row r="10" spans="1:6" ht="42" customHeight="1" x14ac:dyDescent="0.2">
      <c r="A10" s="9" t="s">
        <v>69</v>
      </c>
      <c r="B10" s="10" t="s">
        <v>70</v>
      </c>
    </row>
    <row r="11" spans="1:6" ht="42" customHeight="1" x14ac:dyDescent="0.2">
      <c r="A11" s="7" t="s">
        <v>71</v>
      </c>
      <c r="B11" s="8" t="s">
        <v>72</v>
      </c>
    </row>
    <row r="12" spans="1:6" ht="42" customHeight="1" x14ac:dyDescent="0.2">
      <c r="A12" s="9" t="s">
        <v>73</v>
      </c>
      <c r="B12" s="10" t="s">
        <v>74</v>
      </c>
    </row>
  </sheetData>
  <mergeCells count="1">
    <mergeCell ref="A1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rightToLeft="1" workbookViewId="0"/>
  </sheetViews>
  <sheetFormatPr defaultRowHeight="14.25" x14ac:dyDescent="0.2"/>
  <cols>
    <col min="1" max="1" width="12" customWidth="1"/>
    <col min="2" max="2" width="55" customWidth="1"/>
    <col min="3" max="4" width="20" customWidth="1"/>
  </cols>
  <sheetData>
    <row r="1" spans="1:4" x14ac:dyDescent="0.2">
      <c r="A1" s="11" t="s">
        <v>75</v>
      </c>
      <c r="B1" s="11" t="s">
        <v>76</v>
      </c>
      <c r="C1" s="11" t="s">
        <v>77</v>
      </c>
      <c r="D1" s="11" t="s">
        <v>78</v>
      </c>
    </row>
    <row r="2" spans="1:4" x14ac:dyDescent="0.2">
      <c r="A2" s="12" t="s">
        <v>79</v>
      </c>
      <c r="B2" s="12" t="s">
        <v>80</v>
      </c>
      <c r="C2" s="12" t="s">
        <v>25</v>
      </c>
      <c r="D2" s="12" t="s">
        <v>81</v>
      </c>
    </row>
    <row r="3" spans="1:4" x14ac:dyDescent="0.2">
      <c r="A3" s="12" t="s">
        <v>79</v>
      </c>
      <c r="B3" s="12" t="s">
        <v>80</v>
      </c>
      <c r="C3" s="12" t="s">
        <v>82</v>
      </c>
      <c r="D3" s="12" t="s">
        <v>83</v>
      </c>
    </row>
    <row r="4" spans="1:4" x14ac:dyDescent="0.2">
      <c r="A4" s="12" t="s">
        <v>79</v>
      </c>
      <c r="B4" s="12" t="s">
        <v>80</v>
      </c>
      <c r="C4" s="12" t="s">
        <v>84</v>
      </c>
      <c r="D4" s="12" t="s">
        <v>85</v>
      </c>
    </row>
    <row r="5" spans="1:4" x14ac:dyDescent="0.2">
      <c r="A5" s="12" t="s">
        <v>86</v>
      </c>
      <c r="B5" s="12" t="s">
        <v>87</v>
      </c>
      <c r="C5" s="12" t="s">
        <v>25</v>
      </c>
      <c r="D5" s="12" t="s">
        <v>81</v>
      </c>
    </row>
    <row r="6" spans="1:4" x14ac:dyDescent="0.2">
      <c r="A6" s="12" t="s">
        <v>86</v>
      </c>
      <c r="B6" s="12" t="s">
        <v>87</v>
      </c>
      <c r="C6" s="12" t="s">
        <v>82</v>
      </c>
      <c r="D6" s="12" t="s">
        <v>83</v>
      </c>
    </row>
    <row r="7" spans="1:4" x14ac:dyDescent="0.2">
      <c r="A7" s="12" t="s">
        <v>86</v>
      </c>
      <c r="B7" s="12" t="s">
        <v>87</v>
      </c>
      <c r="C7" s="12" t="s">
        <v>84</v>
      </c>
      <c r="D7" s="12" t="s">
        <v>85</v>
      </c>
    </row>
    <row r="8" spans="1:4" x14ac:dyDescent="0.2">
      <c r="A8" s="12" t="s">
        <v>88</v>
      </c>
      <c r="B8" s="12" t="s">
        <v>89</v>
      </c>
      <c r="C8" s="12" t="s">
        <v>25</v>
      </c>
      <c r="D8" s="12" t="s">
        <v>81</v>
      </c>
    </row>
    <row r="9" spans="1:4" x14ac:dyDescent="0.2">
      <c r="A9" s="12" t="s">
        <v>88</v>
      </c>
      <c r="B9" s="12" t="s">
        <v>89</v>
      </c>
      <c r="C9" s="12" t="s">
        <v>82</v>
      </c>
      <c r="D9" s="12" t="s">
        <v>83</v>
      </c>
    </row>
    <row r="10" spans="1:4" x14ac:dyDescent="0.2">
      <c r="A10" s="12" t="s">
        <v>88</v>
      </c>
      <c r="B10" s="12" t="s">
        <v>89</v>
      </c>
      <c r="C10" s="12" t="s">
        <v>84</v>
      </c>
      <c r="D10" s="12" t="s">
        <v>85</v>
      </c>
    </row>
    <row r="11" spans="1:4" x14ac:dyDescent="0.2">
      <c r="A11" s="12" t="s">
        <v>90</v>
      </c>
      <c r="B11" s="12" t="s">
        <v>91</v>
      </c>
      <c r="C11" s="12" t="s">
        <v>25</v>
      </c>
      <c r="D11" s="12" t="s">
        <v>81</v>
      </c>
    </row>
    <row r="12" spans="1:4" x14ac:dyDescent="0.2">
      <c r="A12" s="12" t="s">
        <v>90</v>
      </c>
      <c r="B12" s="12" t="s">
        <v>91</v>
      </c>
      <c r="C12" s="12" t="s">
        <v>82</v>
      </c>
      <c r="D12" s="12" t="s">
        <v>83</v>
      </c>
    </row>
    <row r="13" spans="1:4" x14ac:dyDescent="0.2">
      <c r="A13" s="12" t="s">
        <v>90</v>
      </c>
      <c r="B13" s="12" t="s">
        <v>91</v>
      </c>
      <c r="C13" s="12" t="s">
        <v>84</v>
      </c>
      <c r="D13" s="12" t="s">
        <v>85</v>
      </c>
    </row>
    <row r="14" spans="1:4" x14ac:dyDescent="0.2">
      <c r="A14" s="12" t="s">
        <v>92</v>
      </c>
      <c r="B14" s="12" t="s">
        <v>93</v>
      </c>
      <c r="C14" s="12" t="s">
        <v>25</v>
      </c>
      <c r="D14" s="12" t="s">
        <v>81</v>
      </c>
    </row>
    <row r="15" spans="1:4" x14ac:dyDescent="0.2">
      <c r="A15" s="12" t="s">
        <v>92</v>
      </c>
      <c r="B15" s="12" t="s">
        <v>93</v>
      </c>
      <c r="C15" s="12" t="s">
        <v>82</v>
      </c>
      <c r="D15" s="12" t="s">
        <v>83</v>
      </c>
    </row>
    <row r="16" spans="1:4" x14ac:dyDescent="0.2">
      <c r="A16" s="12" t="s">
        <v>92</v>
      </c>
      <c r="B16" s="12" t="s">
        <v>93</v>
      </c>
      <c r="C16" s="12" t="s">
        <v>84</v>
      </c>
      <c r="D16" s="12" t="s">
        <v>85</v>
      </c>
    </row>
    <row r="17" spans="1:4" x14ac:dyDescent="0.2">
      <c r="A17" s="12" t="s">
        <v>94</v>
      </c>
      <c r="B17" s="12" t="s">
        <v>95</v>
      </c>
      <c r="C17" s="12" t="s">
        <v>25</v>
      </c>
      <c r="D17" s="12" t="s">
        <v>81</v>
      </c>
    </row>
    <row r="18" spans="1:4" x14ac:dyDescent="0.2">
      <c r="A18" s="12" t="s">
        <v>94</v>
      </c>
      <c r="B18" s="12" t="s">
        <v>95</v>
      </c>
      <c r="C18" s="12" t="s">
        <v>82</v>
      </c>
      <c r="D18" s="12" t="s">
        <v>83</v>
      </c>
    </row>
    <row r="19" spans="1:4" x14ac:dyDescent="0.2">
      <c r="A19" s="12" t="s">
        <v>94</v>
      </c>
      <c r="B19" s="12" t="s">
        <v>95</v>
      </c>
      <c r="C19" s="12" t="s">
        <v>84</v>
      </c>
      <c r="D19" s="12" t="s">
        <v>85</v>
      </c>
    </row>
    <row r="20" spans="1:4" x14ac:dyDescent="0.2">
      <c r="A20" s="12" t="s">
        <v>96</v>
      </c>
      <c r="B20" s="12" t="s">
        <v>97</v>
      </c>
      <c r="C20" s="12" t="s">
        <v>25</v>
      </c>
      <c r="D20" s="12" t="s">
        <v>81</v>
      </c>
    </row>
    <row r="21" spans="1:4" x14ac:dyDescent="0.2">
      <c r="A21" s="12" t="s">
        <v>96</v>
      </c>
      <c r="B21" s="12" t="s">
        <v>97</v>
      </c>
      <c r="C21" s="12" t="s">
        <v>82</v>
      </c>
      <c r="D21" s="12" t="s">
        <v>83</v>
      </c>
    </row>
    <row r="22" spans="1:4" x14ac:dyDescent="0.2">
      <c r="A22" s="12" t="s">
        <v>96</v>
      </c>
      <c r="B22" s="12" t="s">
        <v>97</v>
      </c>
      <c r="C22" s="12" t="s">
        <v>84</v>
      </c>
      <c r="D22" s="12" t="s">
        <v>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اطلاعات استان‌ها</vt:lpstr>
      <vt:lpstr>راهنمای ورود اطلاعات</vt:lpstr>
      <vt:lpstr>مرجع مراحل و وضعیت‌ها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اطلس پیشرفت طرح احیای روضه‌های خانگی - الگوی ورود داده</dc:title>
  <dc:subject>فایل Excel آماده برای بارگذاری در داشبورد اطلس</dc:subject>
  <dc:creator>اطلس پیشرفت طرح احیای روضه‌های خانگی</dc:creator>
  <cp:lastModifiedBy>MASHAR1542</cp:lastModifiedBy>
  <dcterms:created xsi:type="dcterms:W3CDTF">2026-08-15T11:12:43Z</dcterms:created>
  <dcterms:modified xsi:type="dcterms:W3CDTF">2026-08-15T15:42:32Z</dcterms:modified>
</cp:coreProperties>
</file>